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mc="http://schemas.openxmlformats.org/markup-compatibility/2006" xmlns:x15="http://schemas.microsoft.com/office/spreadsheetml/2010/11/main" xmlns:r="http://schemas.openxmlformats.org/officeDocument/2006/relationships" xmlns:dbsheet="http://web.wps.cn/et/2021/dbsheet" xmlns="http://schemas.openxmlformats.org/spreadsheetml/2006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239\Nutstore\1\我的坚果云\打工简历\黑客松\"/>
    </mc:Choice>
  </mc:AlternateContent>
  <bookViews>
    <workbookView windowWidth="24750" windowHeight="12080" activeTab="1"/>
  </bookViews>
  <sheets>
    <sheet r:id="rId1" name="总览" sheetId="1"/>
    <sheet r:id="rId2" name="对白匹配" sheetId="2"/>
    <sheet r:id="rId3" name="资产清单" sheetId="3"/>
    <sheet r:id="rId4" name="映射规则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<sst xmlns="http://schemas.openxmlformats.org/spreadsheetml/2006/main" count="1758" uniqueCount="647">
  <si>
    <t xml:space="preserve">《余响：牵挂》立绘对白匹配总览</t>
  </si>
  <si>
    <t xml:space="preserve">仓库：Shellingfordh/echoes-of-us · main　｜　生成日期：2026-08-28　｜　对白口径：剧情对白表 v3.7</t>
  </si>
  <si>
    <t xml:space="preserve">对白条目</t>
  </si>
  <si>
    <t xml:space="preserve">立绘文件</t>
  </si>
  <si>
    <t xml:space="preserve">已绑定对白</t>
  </si>
  <si>
    <t xml:space="preserve">未绑定对白</t>
  </si>
  <si>
    <t xml:space="preserve">关键结论</t>
  </si>
  <si>
    <t xml:space="preserve">更新项</t>
  </si>
  <si>
    <t xml:space="preserve">当前结果</t>
  </si>
  <si>
    <t xml:space="preserve">影响</t>
  </si>
  <si>
    <t xml:space="preserve">后续建议</t>
  </si>
  <si/>
  <si>
    <t xml:space="preserve">资产补齐</t>
  </si>
  <si>
    <t xml:space="preserve">assets 已增至 30 个文件</t>
  </si>
  <si>
    <t xml:space="preserve">77/78 条对白完成角色立绘绑定</t>
  </si>
  <si>
    <t xml:space="preserve">D061 仍需“高中姑娘”立绘</t>
  </si>
  <si>
    <t xml:space="preserve">近似匹配</t>
  </si>
  <si>
    <t xml:space="preserve">5 条对白使用最接近表情</t>
  </si>
  <si>
    <t xml:space="preserve">可进入联调，但需美术复核</t>
  </si>
  <si>
    <t xml:space="preserve">重点复核 D003、D021、D024、D025、D056</t>
  </si>
  <si>
    <t xml:space="preserve">资产去重</t>
  </si>
  <si>
    <t xml:space="preserve">检测到 2 个同 SHA 重复命名文件</t>
  </si>
  <si>
    <t xml:space="preserve">不影响路径绑定，但增加维护成本</t>
  </si>
  <si>
    <t xml:space="preserve">确认含义后保留一个规范文件名</t>
  </si>
  <si>
    <t xml:space="preserve">章节对白数量</t>
  </si>
  <si>
    <t xml:space="preserve">章节</t>
  </si>
  <si>
    <t xml:space="preserve">对白数</t>
  </si>
  <si>
    <t xml:space="preserve">角色版本</t>
  </si>
  <si>
    <t xml:space="preserve">第一章｜离家</t>
  </si>
  <si>
    <t xml:space="preserve">余念（23岁）</t>
  </si>
  <si>
    <t xml:space="preserve">第二章｜第一次放手</t>
  </si>
  <si>
    <t xml:space="preserve">余念（7岁）</t>
  </si>
  <si>
    <t xml:space="preserve">第三章｜一起走一段</t>
  </si>
  <si>
    <t xml:space="preserve">余秀兰（48岁）</t>
  </si>
  <si>
    <t xml:space="preserve">第四章｜线的尽头</t>
  </si>
  <si>
    <t xml:space="preserve">余秀兰（33岁）</t>
  </si>
  <si>
    <t xml:space="preserve">结局对白</t>
  </si>
  <si>
    <t xml:space="preserve">高中姑娘</t>
  </si>
  <si>
    <t xml:space="preserve">使用说明</t>
  </si>
  <si>
    <t xml:space="preserve">1. 在“对白匹配”筛选“已绑定（近似）”，优先复核 5 条近似情绪。</t>
  </si>
  <si>
    <t xml:space="preserve">2. D061“高中姑娘”是当前唯一未绑定对白；补图后填写资产路径并改为“已绑定（直接）”。</t>
  </si>
  <si>
    <t xml:space="preserve">3. 程序侧可将“现有资产/参考”直接作为资源路径，并保留“推荐立绘槽位”作为稳定 portrait_id。</t>
  </si>
  <si>
    <t xml:space="preserve">《余响：牵挂》立绘—对白匹配表</t>
  </si>
  <si>
    <t xml:space="preserve">口径：对白取 docs/narrative/03_剧情对白表.md（v3.7，78 条 D-ID）；按角色、年龄与情绪将 assets 中的正式立绘绑定到对白。近似匹配已单独标注，便于美术复核。</t>
  </si>
  <si>
    <t xml:space="preserve">资产更新：main/assets 已有 30 个文件；77 条对白已绑定，D061“高中姑娘”仍缺角色立绘。</t>
  </si>
  <si>
    <t xml:space="preserve">序号</t>
  </si>
  <si>
    <t xml:space="preserve">对白ID</t>
  </si>
  <si>
    <t xml:space="preserve">场景</t>
  </si>
  <si>
    <t xml:space="preserve">触发条件</t>
  </si>
  <si>
    <t xml:space="preserve">角色</t>
  </si>
  <si>
    <t xml:space="preserve">台词</t>
  </si>
  <si>
    <t xml:space="preserve">原情绪</t>
  </si>
  <si>
    <t xml:space="preserve">阻塞</t>
  </si>
  <si>
    <t xml:space="preserve">情绪组</t>
  </si>
  <si>
    <t xml:space="preserve">推荐立绘槽位</t>
  </si>
  <si>
    <t xml:space="preserve">现有资产/参考</t>
  </si>
  <si>
    <t xml:space="preserve">匹配状态</t>
  </si>
  <si>
    <t xml:space="preserve">备注</t>
  </si>
  <si>
    <t xml:space="preserve">对白来源</t>
  </si>
  <si>
    <t xml:space="preserve">D001</t>
  </si>
  <si>
    <t xml:space="preserve">Scene 01｜搬家早晨与房间探索</t>
  </si>
  <si>
    <t xml:space="preserve">首次调查封好的纸箱；O001 后触发</t>
  </si>
  <si>
    <t xml:space="preserve">余念·独白</t>
  </si>
  <si>
    <t xml:space="preserve">“终于收完了！我还以为真要收出十箱八箱呢。……也好，东西少，走起来省事。”</t>
  </si>
  <si>
    <t xml:space="preserve">松快；用效率判断压住一点空落</t>
  </si>
  <si>
    <t xml:space="preserve">否</t>
  </si>
  <si>
    <t xml:space="preserve">受伤/低落</t>
  </si>
  <si>
    <t xml:space="preserve">YN23_SAD</t>
  </si>
  <si>
    <t xml:space="preserve">assets/余念（23）：强忍悲戚.png</t>
  </si>
  <si>
    <t xml:space="preserve">已绑定（直接）</t>
  </si>
  <si>
    <t xml:space="preserve">角色、年龄与情绪方向一致。</t>
  </si>
  <si>
    <t xml:space="preserve">https://github.com/Shellingfordh/echoes-of-us/blob/main/docs/narrative/03_%E5%89%A7%E6%83%85%E5%AF%B9%E7%99%BD%E8%A1%A8.md</t>
  </si>
  <si>
    <t xml:space="preserve">D002</t>
  </si>
  <si>
    <t xml:space="preserve">首次调查敞开的行李箱；O002 后触发</t>
  </si>
  <si>
    <t xml:space="preserve">“我就知道，她到底什么时候进来的……每次都这样，也不先问我一声。算了，药先放着吧。”</t>
  </si>
  <si>
    <t xml:space="preserve">熟悉、烦；明确介意“没问我”，但不拒绝所有照料</t>
  </si>
  <si>
    <t xml:space="preserve">烦躁/防御</t>
  </si>
  <si>
    <t xml:space="preserve">YN23_IRRITATED</t>
  </si>
  <si>
    <t xml:space="preserve">assets/余念（23）：烦躁郁闷.png</t>
  </si>
  <si>
    <t xml:space="preserve">D003</t>
  </si>
  <si>
    <t xml:space="preserve">首次调查书桌；O003 后触发</t>
  </si>
  <si>
    <t xml:space="preserve">“总算等到这一天了。……怎么还真有点紧张……没事，到了再说！”</t>
  </si>
  <si>
    <t xml:space="preserve">期待、紧张；自己把情绪压回实际行动</t>
  </si>
  <si>
    <t xml:space="preserve">恐惧/紧张</t>
  </si>
  <si>
    <t xml:space="preserve">YN23_FEAR</t>
  </si>
  <si>
    <t xml:space="preserve">assets/余念（23）：正常状态.png</t>
  </si>
  <si>
    <t xml:space="preserve">已绑定（近似）</t>
  </si>
  <si>
    <t xml:space="preserve">角色与年龄一致；紧张程度较轻，暂用正常状态，建议美术复核。</t>
  </si>
  <si>
    <t xml:space="preserve">D004</t>
  </si>
  <si>
    <t xml:space="preserve">窗玻璃处第一次进入定点观察；O004 后触发</t>
  </si>
  <si>
    <t xml:space="preserve">“看着还行嘛。至少不像第一次出远门的人。”</t>
  </si>
  <si>
    <t xml:space="preserve">轻松里有一点虚；确认自己是否显得准备充分</t>
  </si>
  <si>
    <t xml:space="preserve">温暖/轻快</t>
  </si>
  <si>
    <t xml:space="preserve">YN23_WARM</t>
  </si>
  <si>
    <t xml:space="preserve">assets/余念（23）：欣然愉悦.png</t>
  </si>
  <si>
    <t xml:space="preserve">D041</t>
  </si>
  <si>
    <t xml:space="preserve">钻入床底调查耳机；O041 后触发</t>
  </si>
  <si>
    <t xml:space="preserve">“我就说没丢嘛。妈前两天还让我别找了，再买一副。幸好没听她的。……这种地方也就我进得来，要换成她，腰肯定不行。”</t>
  </si>
  <si>
    <t xml:space="preserve">得意、生活化；相信自己的判断和行动能力</t>
  </si>
  <si>
    <t xml:space="preserve">D042</t>
  </si>
  <si>
    <t xml:space="preserve">跳上柜顶调查相框；O042 后触发</t>
  </si>
  <si>
    <t xml:space="preserve">“妈以前头发这么长啊。……她现在拍照还老说自己不上镜，明明这张倒笑得挺开心的。”</t>
  </si>
  <si>
    <t xml:space="preserve">随口、轻微柔软；评价照片里的年轻母亲</t>
  </si>
  <si>
    <t xml:space="preserve">D043</t>
  </si>
  <si>
    <t xml:space="preserve">调查衣柜中的男式外套；O043 后触发</t>
  </si>
  <si>
    <t xml:space="preserve">“爸爸的衣服……还留着。每次收拾都说‘下回再弄’，下回又原样挂回去。……算了，她想留就留吧。”</t>
  </si>
  <si>
    <t xml:space="preserve">熟悉、回避；评价母亲保留旧物的习惯</t>
  </si>
  <si>
    <t xml:space="preserve">D044</t>
  </si>
  <si>
    <t xml:space="preserve">窗前抬腕看见旧串珠；O044 后触发</t>
  </si>
  <si>
    <t xml:space="preserve">“这东西居然还没散架。不过，换根线，应该也还能戴。”</t>
  </si>
  <si>
    <t xml:space="preserve">自然；珍惜而不自知</t>
  </si>
  <si>
    <t xml:space="preserve">D005</t>
  </si>
  <si>
    <t xml:space="preserve">Scene 02｜黄色旧雨伞</t>
  </si>
  <si>
    <t xml:space="preserve">完成必要探索后，余秀兰拿黄伞进入房间</t>
  </si>
  <si>
    <t xml:space="preserve">余秀兰</t>
  </si>
  <si>
    <t xml:space="preserve">“雨伞没拿，来，给你装上。你这拉链怎么又卡了？”</t>
  </si>
  <si>
    <t xml:space="preserve">自然、忙碌；进门先做事</t>
  </si>
  <si>
    <t xml:space="preserve">是</t>
  </si>
  <si>
    <t xml:space="preserve">YXL48_WARM</t>
  </si>
  <si>
    <t xml:space="preserve">assets/余秀兰（48）：欣然愉悦.png</t>
  </si>
  <si>
    <t xml:space="preserve">D006</t>
  </si>
  <si>
    <t xml:space="preserve">余秀兰把黄伞往行李箱里塞</t>
  </si>
  <si>
    <t xml:space="preserve">“那边这两天有雨。塞着吧，省得到地方现买。”</t>
  </si>
  <si>
    <t xml:space="preserve">关心、习惯性安排</t>
  </si>
  <si>
    <t xml:space="preserve">关切/专注</t>
  </si>
  <si>
    <t xml:space="preserve">YXL48_CONCERNED</t>
  </si>
  <si>
    <t xml:space="preserve">assets/余秀兰（48）：满眼宠溺.png</t>
  </si>
  <si>
    <t xml:space="preserve">D007</t>
  </si>
  <si>
    <t xml:space="preserve">余念伸手阻止</t>
  </si>
  <si>
    <t xml:space="preserve">余念</t>
  </si>
  <si>
    <t xml:space="preserve">“妈，真塞不下了，你别硬塞啊。”</t>
  </si>
  <si>
    <t xml:space="preserve">克制、略急</t>
  </si>
  <si>
    <t xml:space="preserve">D008</t>
  </si>
  <si>
    <t xml:space="preserve">余念把伞往外抽</t>
  </si>
  <si>
    <t xml:space="preserve">“到那儿再买就行，便利店多的是。”</t>
  </si>
  <si>
    <t xml:space="preserve">用解决方案维护边界</t>
  </si>
  <si>
    <t xml:space="preserve">中性/克制</t>
  </si>
  <si>
    <t xml:space="preserve">YN23_NEUTRAL</t>
  </si>
  <si>
    <t xml:space="preserve">D009</t>
  </si>
  <si>
    <t xml:space="preserve">余秀兰仍未停手</t>
  </si>
  <si>
    <t xml:space="preserve">“十几二十块不是钱啊？家里有，还买。”</t>
  </si>
  <si>
    <t xml:space="preserve">生活逻辑式反驳</t>
  </si>
  <si>
    <t xml:space="preserve">YXL48_NEUTRAL</t>
  </si>
  <si>
    <t xml:space="preserve">assets/余秀兰（48）：正常状态.png</t>
  </si>
  <si>
    <t xml:space="preserve">D010</t>
  </si>
  <si>
    <t xml:space="preserve">余秀兰顺手继续整理</t>
  </si>
  <si>
    <t xml:space="preserve">“还有这两盒药你别给我拿出来，啊，你一忙起来，饭都不按点吃。”</t>
  </si>
  <si>
    <t xml:space="preserve">担心、絮叨；边说边塞</t>
  </si>
  <si>
    <t xml:space="preserve">D011</t>
  </si>
  <si>
    <t xml:space="preserve">动作慢下来，真正的问题露出</t>
  </si>
  <si>
    <t xml:space="preserve">“你说你……非得跑那么远干什么。省城不是也有工作吗？”</t>
  </si>
  <si>
    <t xml:space="preserve">不舍、试探；真正的问题从生活话里漏出来</t>
  </si>
  <si>
    <t xml:space="preserve">YXL48_SAD</t>
  </si>
  <si>
    <t xml:space="preserve">assets/余秀兰（48）：强忍悲戚.png</t>
  </si>
  <si>
    <t xml:space="preserve">D012</t>
  </si>
  <si>
    <t xml:space="preserve">余念看向黄伞</t>
  </si>
  <si>
    <t xml:space="preserve">“妈，你说，这伞都多少年了，骨架都松了，我带它干什么。”</t>
  </si>
  <si>
    <t xml:space="preserve">把真正的不满转移到伞上</t>
  </si>
  <si>
    <t xml:space="preserve">D013</t>
  </si>
  <si>
    <t xml:space="preserve">余秀兰停下动作</t>
  </si>
  <si>
    <t xml:space="preserve">“行。你不要就不要。”</t>
  </si>
  <si>
    <t xml:space="preserve">受伤、收回情绪</t>
  </si>
  <si>
    <t xml:space="preserve">D014</t>
  </si>
  <si>
    <t xml:space="preserve">余秀兰把黄伞留在门边，准备下楼</t>
  </si>
  <si>
    <t xml:space="preserve">“放这儿了。爱拿不拿。”</t>
  </si>
  <si>
    <t xml:space="preserve">假装不在意；把决定丢回女儿</t>
  </si>
  <si>
    <t xml:space="preserve">D045</t>
  </si>
  <si>
    <t xml:space="preserve">黄伞冲突后再次调查行李箱；O045 后触发</t>
  </si>
  <si>
    <t xml:space="preserve">“又塞。她是不是觉得我一出这个门就能立刻病倒啊。……算了，也不沉。”</t>
  </si>
  <si>
    <t xml:space="preserve">烦、无奈；嘴上嫌夸张，实际接受一部分照料</t>
  </si>
  <si>
    <t xml:space="preserve">D046</t>
  </si>
  <si>
    <t xml:space="preserve">调查门边黄色猫咪旧雨伞；O046 后触发</t>
  </si>
  <si>
    <r>
      <t>“</t>
    </r>
    <r>
      <rPr>
        <sz val="10.000000"/>
        <color rgb="FF243447"/>
        <rFont val="宋体"/>
        <charset val="134"/>
      </rPr>
      <t>她还真把它留下了。</t>
    </r>
    <r>
      <rPr>
        <sz val="10.000000"/>
        <color rgb="FF243447"/>
        <rFont val="Carlito"/>
        <charset val="134"/>
      </rPr>
      <t>……</t>
    </r>
    <r>
      <rPr>
        <sz val="10.000000"/>
        <color rgb="FF243447"/>
        <rFont val="宋体"/>
        <charset val="134"/>
      </rPr>
      <t>刚才跟一把伞较什么劲。先放这儿吧。</t>
    </r>
    <r>
      <rPr>
        <sz val="10.000000"/>
        <color rgb="FF243447"/>
        <rFont val="Carlito"/>
        <charset val="134"/>
      </rPr>
      <t>”</t>
    </r>
  </si>
  <si>
    <t xml:space="preserve">嘴硬后的自我察觉；不直接道歉</t>
  </si>
  <si>
    <t xml:space="preserve">D015</t>
  </si>
  <si>
    <t xml:space="preserve">Scene 03｜显线、回弹与试探</t>
  </si>
  <si>
    <t xml:space="preserve">第一次走到极限距离并被强行拉回</t>
  </si>
  <si>
    <t xml:space="preserve">“怎么又回来了？”</t>
  </si>
  <si>
    <t xml:space="preserve">震惊、受挫；先确认身体发生了什么</t>
  </si>
  <si>
    <t xml:space="preserve">震惊/警觉</t>
  </si>
  <si>
    <t xml:space="preserve">YN23_SHOCK</t>
  </si>
  <si>
    <t xml:space="preserve">assets/余念（23）：难以置信.png</t>
  </si>
  <si>
    <t xml:space="preserve">D016</t>
  </si>
  <si>
    <t xml:space="preserve">回弹后第一次认真看见连接楼下的线</t>
  </si>
  <si>
    <t xml:space="preserve">“……线？”</t>
  </si>
  <si>
    <t xml:space="preserve">错愕；给玩家留出先看懂的空间</t>
  </si>
  <si>
    <t xml:space="preserve">D017</t>
  </si>
  <si>
    <t xml:space="preserve">回弹后主动触碰、拉动牵挂线，确认它有真实阻力</t>
  </si>
  <si>
    <t xml:space="preserve">“不是幻觉？这是怎么回事？”</t>
  </si>
  <si>
    <t xml:space="preserve">惊讶、警惕；确认它会真实干涉身体</t>
  </si>
  <si>
    <t xml:space="preserve">D018</t>
  </si>
  <si>
    <t xml:space="preserve">再次尝试离开仍失败，线重新绷紧；黄伞与线开始共鸣</t>
  </si>
  <si>
    <t xml:space="preserve">“……妈妈不想让我走？”</t>
  </si>
  <si>
    <t xml:space="preserve">委屈、抗拒；错误理解正式成立</t>
  </si>
  <si>
    <t xml:space="preserve">D047</t>
  </si>
  <si>
    <t xml:space="preserve">显线后调查任意普通线状物；O047 后触发一次</t>
  </si>
  <si>
    <t xml:space="preserve">“……怎么现在看什么都像那根东西。烦死了。”</t>
  </si>
  <si>
    <t xml:space="preserve">不安、烦躁、抗拒；不做主题总结</t>
  </si>
  <si>
    <t xml:space="preserve">D019</t>
  </si>
  <si>
    <t xml:space="preserve">Scene 04｜童年与母亲的位置</t>
  </si>
  <si>
    <t xml:space="preserve">黄伞触发 2009 年秋回放，七岁余念向前跑</t>
  </si>
  <si>
    <t xml:space="preserve">七岁余念</t>
  </si>
  <si>
    <t xml:space="preserve">“妈妈你快点！我先走啦！”</t>
  </si>
  <si>
    <t xml:space="preserve">兴奋、迫不及待</t>
  </si>
  <si>
    <t xml:space="preserve">YN07_WARM</t>
  </si>
  <si>
    <t xml:space="preserve">assets/余念（7）：欣然愉悦.png</t>
  </si>
  <si>
    <t xml:space="preserve">D020</t>
  </si>
  <si>
    <t xml:space="preserve">玩家第一次从年轻余秀兰一端看见牵挂线</t>
  </si>
  <si>
    <t xml:space="preserve">年轻余秀兰</t>
  </si>
  <si>
    <t xml:space="preserve">“慢点儿。看路。”</t>
  </si>
  <si>
    <t xml:space="preserve">普通母亲式提醒</t>
  </si>
  <si>
    <t xml:space="preserve">YXL33_NEUTRAL</t>
  </si>
  <si>
    <t xml:space="preserve">assets/余秀兰（33）：正常状态.png</t>
  </si>
  <si>
    <t xml:space="preserve">D021</t>
  </si>
  <si>
    <t xml:space="preserve">孩子接近危险或木板将失稳</t>
  </si>
  <si>
    <t xml:space="preserve">“余念，停！”</t>
  </si>
  <si>
    <t xml:space="preserve">本能保护、惊慌</t>
  </si>
  <si>
    <t xml:space="preserve">YXL33_FEAR</t>
  </si>
  <si>
    <t xml:space="preserve">assets/余秀兰（33）：心脏骤停.jpg</t>
  </si>
  <si>
    <t xml:space="preserve">角色与年龄一致；当前无完全同义表情，按最接近情绪绑定，建议美术复核。</t>
  </si>
  <si>
    <t xml:space="preserve">D022</t>
  </si>
  <si>
    <t xml:space="preserve">孩子被张力顿住后回头</t>
  </si>
  <si>
    <t xml:space="preserve">“你干嘛呀，我都没碰到水！”</t>
  </si>
  <si>
    <t xml:space="preserve">疑惑、小小不满；孩子只看到眼前的事</t>
  </si>
  <si>
    <t xml:space="preserve">YN07_IRRITATED</t>
  </si>
  <si>
    <t xml:space="preserve">assets/余念（7）：积郁憋闷.png</t>
  </si>
  <si>
    <t xml:space="preserve">D023</t>
  </si>
  <si>
    <t xml:space="preserve">到达成年人无法通过的窄处</t>
  </si>
  <si>
    <t xml:space="preserve">“这个我能钻！你别过来，我自己来。”</t>
  </si>
  <si>
    <t xml:space="preserve">自信、想证明自己</t>
  </si>
  <si>
    <t xml:space="preserve">YN07_NEUTRAL</t>
  </si>
  <si>
    <t xml:space="preserve">assets/余念（7）：淡然自若.png</t>
  </si>
  <si>
    <t xml:space="preserve">D048</t>
  </si>
  <si>
    <t xml:space="preserve">自行车挡路，小余念试着搬</t>
  </si>
  <si>
    <t xml:space="preserve">“我搬得动——……搬不动。”</t>
  </si>
  <si>
    <t xml:space="preserve">逞强后立刻承认</t>
  </si>
  <si>
    <t xml:space="preserve">D049</t>
  </si>
  <si>
    <t xml:space="preserve">余秀兰推开自行车</t>
  </si>
  <si>
    <t xml:space="preserve">“让开点，别砸着脚。”</t>
  </si>
  <si>
    <t xml:space="preserve">自然承担；不强调“妈妈能做”</t>
  </si>
  <si>
    <t xml:space="preserve">YXL33_WARM</t>
  </si>
  <si>
    <t xml:space="preserve">assets/余秀兰（33）：含情凝望.png</t>
  </si>
  <si>
    <t xml:space="preserve">D050</t>
  </si>
  <si>
    <t xml:space="preserve">水坑前孩子跑远，线开始紧</t>
  </si>
  <si>
    <t xml:space="preserve">“这点水我肯定能过去！”</t>
  </si>
  <si>
    <t xml:space="preserve">主动、觉得自己没问题</t>
  </si>
  <si>
    <t xml:space="preserve">assets/余念（7）：正常状态.png</t>
  </si>
  <si>
    <t xml:space="preserve">D051</t>
  </si>
  <si>
    <t xml:space="preserve">余秀兰主动向前靠近，线松下来</t>
  </si>
  <si>
    <t xml:space="preserve">“行行行，你慢点儿，我跟在后面哦。”</t>
  </si>
  <si>
    <t xml:space="preserve">能够退一步，不说教</t>
  </si>
  <si>
    <t xml:space="preserve">D024</t>
  </si>
  <si>
    <t xml:space="preserve">Scene 05｜坠落、攀线与第一次放手</t>
  </si>
  <si>
    <t xml:space="preserve">孩子坠落后被线吊住并开始沿线攀回</t>
  </si>
  <si>
    <t xml:space="preserve">“余念！抓紧！别往下看——对，往上爬。妈妈在这儿。”</t>
  </si>
  <si>
    <t xml:space="preserve">恐惧，但强迫自己镇定；句子被动作切碎</t>
  </si>
  <si>
    <t xml:space="preserve">D052</t>
  </si>
  <si>
    <t xml:space="preserve">孩子爬回安全处</t>
  </si>
  <si>
    <t xml:space="preserve">“你看，妈妈，我自己上来的！”</t>
  </si>
  <si>
    <t xml:space="preserve">喘着气，还要强调“自己”</t>
  </si>
  <si>
    <t xml:space="preserve">D053</t>
  </si>
  <si>
    <t xml:space="preserve">母亲检查她确认没伤到</t>
  </si>
  <si>
    <t xml:space="preserve">“嗯，妈妈看见了。宝宝，真棒！膝盖呢，疼不疼？”</t>
  </si>
  <si>
    <t xml:space="preserve">先承认，再立刻回到照料</t>
  </si>
  <si>
    <t xml:space="preserve">YXL33_CONCERNED</t>
  </si>
  <si>
    <t xml:space="preserve">D025</t>
  </si>
  <si>
    <t xml:space="preserve">学校街角前，余秀兰在路灯旁主动锚定</t>
  </si>
  <si>
    <t xml:space="preserve">“去吧。别跑。……到那边回头让我看一眼。”</t>
  </si>
  <si>
    <t xml:space="preserve">不舍、温柔，但真的停下</t>
  </si>
  <si>
    <t xml:space="preserve">YXL33_SAD</t>
  </si>
  <si>
    <t xml:space="preserve">D054</t>
  </si>
  <si>
    <t xml:space="preserve">小余念向前跑，挥黄伞</t>
  </si>
  <si>
    <t xml:space="preserve">“知道啦——！”</t>
  </si>
  <si>
    <t xml:space="preserve">明亮，迅速恢复</t>
  </si>
  <si>
    <t xml:space="preserve">D026</t>
  </si>
  <si>
    <t xml:space="preserve">Scene 06｜回到现在与共同出发</t>
  </si>
  <si>
    <t xml:space="preserve">童年余响结束，余念在黄伞旁睁眼</t>
  </si>
  <si>
    <t xml:space="preserve">“念念？哎，念念？想什么呢。”</t>
  </si>
  <si>
    <t xml:space="preserve">担心、试探</t>
  </si>
  <si>
    <t xml:space="preserve">D027</t>
  </si>
  <si>
    <t xml:space="preserve">母女准备处理最后行李</t>
  </si>
  <si>
    <t xml:space="preserve">“没事。这个我拿吧，你拿那个，别一趟全扛上了。”</t>
  </si>
  <si>
    <t xml:space="preserve">缓和、仍有一点生疏</t>
  </si>
  <si>
    <t xml:space="preserve">D055</t>
  </si>
  <si>
    <t xml:space="preserve">发现主街被早市堵住</t>
  </si>
  <si>
    <t xml:space="preserve">“前头走不了了。咱们走后边吧，穿过仓库，能上天台。”</t>
  </si>
  <si>
    <t xml:space="preserve">立刻处理现实问题</t>
  </si>
  <si>
    <t xml:space="preserve">D056</t>
  </si>
  <si>
    <t xml:space="preserve">余念确认路线</t>
  </si>
  <si>
    <t xml:space="preserve">“天台那头能下去吗？”</t>
  </si>
  <si>
    <t xml:space="preserve">紧迫、确认</t>
  </si>
  <si>
    <t xml:space="preserve">D057</t>
  </si>
  <si>
    <t xml:space="preserve">母亲已经开始搬</t>
  </si>
  <si>
    <t xml:space="preserve">“可以。我天天在这片走，我能不知道吗？”</t>
  </si>
  <si>
    <t xml:space="preserve">熟悉的硬气</t>
  </si>
  <si>
    <t xml:space="preserve">YXL48_IRRITATED</t>
  </si>
  <si>
    <t xml:space="preserve">assets/余秀兰（48）：积郁烦闷.png</t>
  </si>
  <si>
    <t xml:space="preserve">D028</t>
  </si>
  <si>
    <t xml:space="preserve">Scene 07｜楼道与出口</t>
  </si>
  <si>
    <t xml:space="preserve">余秀兰第一次主动锚定，让余念先过</t>
  </si>
  <si>
    <t xml:space="preserve">“我站这儿，你先过去吧。”</t>
  </si>
  <si>
    <t xml:space="preserve">专注、信任；减少操作说明感</t>
  </si>
  <si>
    <t xml:space="preserve">D029</t>
  </si>
  <si>
    <t xml:space="preserve">余念到达另一端并反过来成为支点</t>
  </si>
  <si>
    <t xml:space="preserve">“你别动啊，妈，这回我拉你！”</t>
  </si>
  <si>
    <t xml:space="preserve">认真、柔软；像动作现场说的话</t>
  </si>
  <si>
    <t xml:space="preserve">D058</t>
  </si>
  <si>
    <t xml:space="preserve">母亲第一反应拒绝</t>
  </si>
  <si>
    <t xml:space="preserve">“不用，我自己上得去。”</t>
  </si>
  <si>
    <t xml:space="preserve">条件反射式拒绝帮助</t>
  </si>
  <si>
    <t xml:space="preserve">D059</t>
  </si>
  <si>
    <t xml:space="preserve">母亲自己尝试失败后</t>
  </si>
  <si>
    <t xml:space="preserve">“……你站稳点。”</t>
  </si>
  <si>
    <t xml:space="preserve">终于接受支撑，但先担心女儿</t>
  </si>
  <si>
    <t xml:space="preserve">D060</t>
  </si>
  <si>
    <t xml:space="preserve">余念锚定</t>
  </si>
  <si>
    <t xml:space="preserve">“嗯。来吧。”</t>
  </si>
  <si>
    <t xml:space="preserve">不煽情，动作先于意义</t>
  </si>
  <si>
    <t xml:space="preserve">D030</t>
  </si>
  <si>
    <t xml:space="preserve">Scene 08｜仓库与能力差异</t>
  </si>
  <si>
    <t xml:space="preserve">面对重物与低矮通道，需要分工</t>
  </si>
  <si>
    <t xml:space="preserve">“你把这个往外挪点，我从那边钻过去。”</t>
  </si>
  <si>
    <t xml:space="preserve">清晰、开始默契；不说完整战术说明</t>
  </si>
  <si>
    <t xml:space="preserve">D031</t>
  </si>
  <si>
    <t xml:space="preserve">母亲完成重物处理</t>
  </si>
  <si>
    <t xml:space="preserve">“行。慢点，里面黑。”</t>
  </si>
  <si>
    <t xml:space="preserve">克制、愿意等待</t>
  </si>
  <si>
    <t xml:space="preserve">D061</t>
  </si>
  <si>
    <t xml:space="preserve">常来帮忙的高中姑娘出现</t>
  </si>
  <si>
    <t xml:space="preserve">“姨，我来我来。”</t>
  </si>
  <si>
    <t xml:space="preserve">熟门熟路</t>
  </si>
  <si>
    <t xml:space="preserve">HS_GIRL_NEUTRAL</t>
  </si>
  <si>
    <t xml:space="preserve">缺少角色立绘</t>
  </si>
  <si>
    <t xml:space="preserve">当前 assets 中没有该角色立绘。</t>
  </si>
  <si>
    <t xml:space="preserve">D062</t>
  </si>
  <si>
    <t xml:space="preserve">母亲把轻的递给她</t>
  </si>
  <si>
    <t xml:space="preserve">“你拿这个。那个沉，别逞能。”</t>
  </si>
  <si>
    <t xml:space="preserve">对别人也使用同样的照料语言</t>
  </si>
  <si>
    <t xml:space="preserve">D032</t>
  </si>
  <si>
    <t xml:space="preserve">Scene 09｜天台接力</t>
  </si>
  <si>
    <t xml:space="preserve">余秀兰在低处锚定，让余念先上</t>
  </si>
  <si>
    <t xml:space="preserve">“你先上。上去站稳再说。”</t>
  </si>
  <si>
    <t xml:space="preserve">沉着、把主动权交出去</t>
  </si>
  <si>
    <t xml:space="preserve">D033</t>
  </si>
  <si>
    <t xml:space="preserve">余念在高处完成锚定并接母亲</t>
  </si>
  <si>
    <t xml:space="preserve">“好了。你上来吧。”</t>
  </si>
  <si>
    <t xml:space="preserve">信任、轻盈、平等</t>
  </si>
  <si>
    <t xml:space="preserve">D063</t>
  </si>
  <si>
    <t xml:space="preserve">母亲真正把重量交给女儿</t>
  </si>
  <si>
    <t xml:space="preserve">“别松啊。”</t>
  </si>
  <si>
    <t xml:space="preserve">极短；信任落实在依赖上</t>
  </si>
  <si>
    <t xml:space="preserve">D064</t>
  </si>
  <si>
    <t xml:space="preserve">女儿回应</t>
  </si>
  <si>
    <t xml:space="preserve">“没松。”</t>
  </si>
  <si>
    <t xml:space="preserve">极短；第三章情感峰值</t>
  </si>
  <si>
    <t xml:space="preserve">D034</t>
  </si>
  <si>
    <t xml:space="preserve">Scene 10｜检票口外：再次越界</t>
  </si>
  <si>
    <t xml:space="preserve">检票口外，余秀兰最后整理袋子</t>
  </si>
  <si>
    <t xml:space="preserve">“这袋路上吃，这袋到了再开。别都塞一块儿，一会儿又找不着。”</t>
  </si>
  <si>
    <t xml:space="preserve">越接近真正分离越忙</t>
  </si>
  <si>
    <t xml:space="preserve">D035</t>
  </si>
  <si>
    <t xml:space="preserve">余念接过袋子</t>
  </si>
  <si>
    <t xml:space="preserve">“行，我知道。你给我吧。”</t>
  </si>
  <si>
    <t xml:space="preserve">疲惫，但仍压着</t>
  </si>
  <si>
    <t xml:space="preserve">D036</t>
  </si>
  <si>
    <t xml:space="preserve">母亲继续确认</t>
  </si>
  <si>
    <t xml:space="preserve">“到地方给我打个电话。还有那个房子，我越想越不放心。”</t>
  </si>
  <si>
    <t xml:space="preserve">连续确认开始升级</t>
  </si>
  <si>
    <t xml:space="preserve">D037</t>
  </si>
  <si>
    <t xml:space="preserve">母亲提出跟过去</t>
  </si>
  <si>
    <t xml:space="preserve">“要不我跟你过去一趟？也不住多久，帮你把东西弄好我就回来。”</t>
  </si>
  <si>
    <t xml:space="preserve">她认为这是完全合理的方案</t>
  </si>
  <si>
    <t xml:space="preserve">D038</t>
  </si>
  <si>
    <t xml:space="preserve">女儿再次拒绝</t>
  </si>
  <si>
    <t xml:space="preserve">“不用。我自己能弄。”</t>
  </si>
  <si>
    <t xml:space="preserve">压着火；强调能力而非拒绝母亲本人</t>
  </si>
  <si>
    <t xml:space="preserve">assets/余念（23）：隐忍愠怒.png</t>
  </si>
  <si>
    <t xml:space="preserve">D039</t>
  </si>
  <si>
    <t xml:space="preserve">母亲仍想解释</t>
  </si>
  <si>
    <t xml:space="preserve">“我知道你能，我就是——”</t>
  </si>
  <si>
    <t xml:space="preserve">真正情绪即将露出来，但被打断</t>
  </si>
  <si>
    <t xml:space="preserve">D040</t>
  </si>
  <si>
    <t xml:space="preserve">女儿爆发</t>
  </si>
  <si>
    <t xml:space="preserve">“行了，行了，你是不是就是不想让我走！”</t>
  </si>
  <si>
    <t xml:space="preserve">全作最伤人的一句</t>
  </si>
  <si>
    <t xml:space="preserve">D065</t>
  </si>
  <si>
    <t xml:space="preserve">母亲收回手</t>
  </si>
  <si>
    <t xml:space="preserve">“……………………那我不管了。”</t>
  </si>
  <si>
    <t xml:space="preserve">声音低、短；不吵、不反击</t>
  </si>
  <si>
    <t xml:space="preserve">D066</t>
  </si>
  <si>
    <t xml:space="preserve">结局 A｜《这条街》</t>
  </si>
  <si>
    <t xml:space="preserve">数月后硬座车厢，电话接通</t>
  </si>
  <si>
    <t xml:space="preserve">“我出来玩两天。”</t>
  </si>
  <si>
    <t xml:space="preserve">像报告一件普通小事</t>
  </si>
  <si>
    <t xml:space="preserve">D067</t>
  </si>
  <si>
    <t xml:space="preserve">电话另一端</t>
  </si>
  <si>
    <t xml:space="preserve">“妈，你一个人啊？”</t>
  </si>
  <si>
    <t xml:space="preserve">真吃惊</t>
  </si>
  <si>
    <t xml:space="preserve">D068</t>
  </si>
  <si>
    <t xml:space="preserve">母亲</t>
  </si>
  <si>
    <t xml:space="preserve">“嗯，我一个人。”</t>
  </si>
  <si>
    <t xml:space="preserve">没有炫耀</t>
  </si>
  <si>
    <t xml:space="preserve">D069</t>
  </si>
  <si>
    <t xml:space="preserve">女儿</t>
  </si>
  <si>
    <t xml:space="preserve">“票……你自己买的？”</t>
  </si>
  <si>
    <t xml:space="preserve">惊讶里带一点熟悉的质疑</t>
  </si>
  <si>
    <t xml:space="preserve">D070</t>
  </si>
  <si>
    <t xml:space="preserve">“对，买的硬座。”</t>
  </si>
  <si>
    <t xml:space="preserve">小小反击，笑点</t>
  </si>
  <si>
    <t xml:space="preserve">D071</t>
  </si>
  <si>
    <t xml:space="preserve">女儿开始交代</t>
  </si>
  <si>
    <t xml:space="preserve">“到了给我发个消息。手机别没电。晚上也别往太偏的地方走啊。”</t>
  </si>
  <si>
    <t xml:space="preserve">母亲式照料方向反转</t>
  </si>
  <si>
    <t xml:space="preserve">YN23_CONCERNED</t>
  </si>
  <si>
    <t xml:space="preserve">D072</t>
  </si>
  <si>
    <t xml:space="preserve">母亲听完</t>
  </si>
  <si>
    <t xml:space="preserve">“嗯。知道了。挂了啊。”</t>
  </si>
  <si>
    <t xml:space="preserve">不反驳、不感动，她现在受得了</t>
  </si>
  <si>
    <t xml:space="preserve">D073</t>
  </si>
  <si>
    <t xml:space="preserve">结局 B｜《另一座城》</t>
  </si>
  <si>
    <t xml:space="preserve">南方新铺，手机免提，女儿加班</t>
  </si>
  <si>
    <t xml:space="preserve">“我今晚不过去吃了，加班。”</t>
  </si>
  <si>
    <t xml:space="preserve">普通生活电话</t>
  </si>
  <si>
    <t xml:space="preserve">D074</t>
  </si>
  <si>
    <t xml:space="preserve">母亲踩缝纫机</t>
  </si>
  <si>
    <t xml:space="preserve">“哦。几点下班？”</t>
  </si>
  <si>
    <t xml:space="preserve">仍会关心，但只是顺口问一句</t>
  </si>
  <si>
    <t xml:space="preserve">D075</t>
  </si>
  <si>
    <t xml:space="preserve">“不知道。你那边下雨没？”</t>
  </si>
  <si>
    <t xml:space="preserve">没回答自己的事，顺手把关心抛回去</t>
  </si>
  <si>
    <t xml:space="preserve">D076</t>
  </si>
  <si>
    <t xml:space="preserve">“没下。你晚饭吃了？”</t>
  </si>
  <si>
    <t xml:space="preserve">习惯仍在，但不过界追问</t>
  </si>
  <si>
    <t xml:space="preserve">D077</t>
  </si>
  <si>
    <t xml:space="preserve">“吃了，楼下那个。难吃死了。”</t>
  </si>
  <si>
    <t xml:space="preserve">没用的小事，说明关系回归日常</t>
  </si>
  <si>
    <t xml:space="preserve">D078</t>
  </si>
  <si>
    <t xml:space="preserve">“那你明天别吃那家。”</t>
  </si>
  <si>
    <t xml:space="preserve">不说“我给你做”，保留距离</t>
  </si>
  <si>
    <t xml:space="preserve">立绘资产清单与目录审计</t>
  </si>
  <si>
    <t xml:space="preserve">main/assets：30 个文件　｜　角色立绘：29 个　｜　通用情绪参考：1 个　｜　同 SHA 重复命名：2 个</t>
  </si>
  <si>
    <t xml:space="preserve">仓库内已发现的图片资产</t>
  </si>
  <si>
    <t xml:space="preserve">仓库路径</t>
  </si>
  <si>
    <t xml:space="preserve">文件名</t>
  </si>
  <si>
    <t xml:space="preserve">所在目录</t>
  </si>
  <si>
    <t xml:space="preserve">文件大小（字节）</t>
  </si>
  <si>
    <t xml:space="preserve">大小（MB）</t>
  </si>
  <si>
    <t xml:space="preserve">情绪</t>
  </si>
  <si>
    <t xml:space="preserve">用途判断</t>
  </si>
  <si>
    <t xml:space="preserve">重复/绑定结论</t>
  </si>
  <si>
    <t xml:space="preserve">来源URL</t>
  </si>
  <si>
    <t xml:space="preserve">assets/人像质感调节-情绪调节-哀悼压抑.png</t>
  </si>
  <si>
    <t xml:space="preserve">人像质感调节-情绪调节-哀悼压抑.png</t>
  </si>
  <si>
    <t xml:space="preserve">assets</t>
  </si>
  <si>
    <t xml:space="preserve">未标注</t>
  </si>
  <si>
    <t xml:space="preserve">人像质感调节-情绪调节-哀悼压抑</t>
  </si>
  <si>
    <t xml:space="preserve">通用情绪参考</t>
  </si>
  <si>
    <t xml:space="preserve">通用参考，不直接绑定</t>
  </si>
  <si>
    <t xml:space="preserve">https://raw.githubusercontent.com/Shellingfordh/echoes-of-us/main/assets/人像质感调节-情绪调节-哀悼压抑.png</t>
  </si>
  <si>
    <t xml:space="preserve">余念（23）：强忍悲戚.png</t>
  </si>
  <si>
    <t xml:space="preserve">余念（23）</t>
  </si>
  <si>
    <t xml:space="preserve">强忍悲戚</t>
  </si>
  <si>
    <t xml:space="preserve">正式角色立绘</t>
  </si>
  <si>
    <t xml:space="preserve">可用于对白绑定</t>
  </si>
  <si>
    <t xml:space="preserve">https://raw.githubusercontent.com/Shellingfordh/echoes-of-us/main/assets/余念（23）：强忍悲戚.png</t>
  </si>
  <si>
    <t xml:space="preserve">余念（23）：欣然愉悦.png</t>
  </si>
  <si>
    <t xml:space="preserve">欣然愉悦</t>
  </si>
  <si>
    <t xml:space="preserve">https://raw.githubusercontent.com/Shellingfordh/echoes-of-us/main/assets/余念（23）：欣然愉悦.png</t>
  </si>
  <si>
    <t xml:space="preserve">余念（23）：正常状态.png</t>
  </si>
  <si>
    <t xml:space="preserve">正常状态</t>
  </si>
  <si>
    <t xml:space="preserve">https://raw.githubusercontent.com/Shellingfordh/echoes-of-us/main/assets/余念（23）：正常状态.png</t>
  </si>
  <si>
    <t xml:space="preserve">余念（23）：烦躁郁闷.png</t>
  </si>
  <si>
    <t xml:space="preserve">烦躁郁闷</t>
  </si>
  <si>
    <t xml:space="preserve">https://raw.githubusercontent.com/Shellingfordh/echoes-of-us/main/assets/余念（23）：烦躁郁闷.png</t>
  </si>
  <si>
    <t xml:space="preserve">余念（23）：隐忍愠怒.png</t>
  </si>
  <si>
    <t xml:space="preserve">隐忍愠怒</t>
  </si>
  <si>
    <t xml:space="preserve">https://raw.githubusercontent.com/Shellingfordh/echoes-of-us/main/assets/余念（23）：隐忍愠怒.png</t>
  </si>
  <si>
    <t xml:space="preserve">余念（23）：难以置信.png</t>
  </si>
  <si>
    <t xml:space="preserve">难以置信</t>
  </si>
  <si>
    <t xml:space="preserve">https://raw.githubusercontent.com/Shellingfordh/echoes-of-us/main/assets/余念（23）：难以置信.png</t>
  </si>
  <si>
    <t xml:space="preserve">assets/余念（7）：惊魂未定.png</t>
  </si>
  <si>
    <t xml:space="preserve">余念（7）：惊魂未定.png</t>
  </si>
  <si>
    <t xml:space="preserve">余念（7）</t>
  </si>
  <si>
    <t xml:space="preserve">惊魂未定</t>
  </si>
  <si>
    <t xml:space="preserve">https://raw.githubusercontent.com/Shellingfordh/echoes-of-us/main/assets/余念（7）：惊魂未定.png</t>
  </si>
  <si>
    <t xml:space="preserve">余念（7）：欣然愉悦.png</t>
  </si>
  <si>
    <t xml:space="preserve">https://raw.githubusercontent.com/Shellingfordh/echoes-of-us/main/assets/余念（7）：欣然愉悦.png</t>
  </si>
  <si>
    <t xml:space="preserve">余念（7）：正常状态.png</t>
  </si>
  <si>
    <t xml:space="preserve">https://raw.githubusercontent.com/Shellingfordh/echoes-of-us/main/assets/余念（7）：正常状态.png</t>
  </si>
  <si>
    <t xml:space="preserve">余念（7）：淡然自若.png</t>
  </si>
  <si>
    <t xml:space="preserve">淡然自若</t>
  </si>
  <si>
    <t xml:space="preserve">https://raw.githubusercontent.com/Shellingfordh/echoes-of-us/main/assets/余念（7）：淡然自若.png</t>
  </si>
  <si>
    <t xml:space="preserve">余念（7）：积郁憋闷.png</t>
  </si>
  <si>
    <t xml:space="preserve">积郁憋闷</t>
  </si>
  <si>
    <t xml:space="preserve">https://raw.githubusercontent.com/Shellingfordh/echoes-of-us/main/assets/余念（7）：积郁憋闷.png</t>
  </si>
  <si>
    <t xml:space="preserve">assets/余念（7）：隐忍愠怒.png</t>
  </si>
  <si>
    <t xml:space="preserve">余念（7）：隐忍愠怒.png</t>
  </si>
  <si>
    <t xml:space="preserve">https://raw.githubusercontent.com/Shellingfordh/echoes-of-us/main/assets/余念（7）：隐忍愠怒.png</t>
  </si>
  <si>
    <t xml:space="preserve">assets/余念（7）：难以置信.png</t>
  </si>
  <si>
    <t xml:space="preserve">余念（7）：难以置信.png</t>
  </si>
  <si>
    <t xml:space="preserve">https://raw.githubusercontent.com/Shellingfordh/echoes-of-us/main/assets/余念（7）：难以置信.png</t>
  </si>
  <si>
    <t xml:space="preserve">assets/余念（7）：默然垂泪.png</t>
  </si>
  <si>
    <t xml:space="preserve">余念（7）：默然垂泪.png</t>
  </si>
  <si>
    <t xml:space="preserve">默然垂泪</t>
  </si>
  <si>
    <t xml:space="preserve">https://raw.githubusercontent.com/Shellingfordh/echoes-of-us/main/assets/余念（7）：默然垂泪.png</t>
  </si>
  <si>
    <t xml:space="preserve">余秀兰（33）：含情凝望.png</t>
  </si>
  <si>
    <t xml:space="preserve">余秀兰（33）</t>
  </si>
  <si>
    <t xml:space="preserve">含情凝望</t>
  </si>
  <si>
    <t xml:space="preserve">https://raw.githubusercontent.com/Shellingfordh/echoes-of-us/main/assets/余秀兰（33）：含情凝望.png</t>
  </si>
  <si>
    <t xml:space="preserve">assets/余秀兰（33）：哀悼压抑.png</t>
  </si>
  <si>
    <t xml:space="preserve">余秀兰（33）：哀悼压抑.png</t>
  </si>
  <si>
    <t xml:space="preserve">哀悼压抑</t>
  </si>
  <si>
    <t xml:space="preserve">同 SHA：assets/人像质感调节-情绪调节-哀悼压抑.png</t>
  </si>
  <si>
    <t xml:space="preserve">https://raw.githubusercontent.com/Shellingfordh/echoes-of-us/main/assets/余秀兰（33）：哀悼压抑.png</t>
  </si>
  <si>
    <t xml:space="preserve">assets/余秀兰（33）：强忍悲戚.png</t>
  </si>
  <si>
    <t xml:space="preserve">余秀兰（33）：强忍悲戚.png</t>
  </si>
  <si>
    <t xml:space="preserve">https://raw.githubusercontent.com/Shellingfordh/echoes-of-us/main/assets/余秀兰（33）：强忍悲戚.png</t>
  </si>
  <si>
    <t xml:space="preserve">余秀兰（33）：心脏骤停.jpg</t>
  </si>
  <si>
    <t xml:space="preserve">心脏骤停</t>
  </si>
  <si>
    <t xml:space="preserve">https://raw.githubusercontent.com/Shellingfordh/echoes-of-us/main/assets/余秀兰（33）：心脏骤停.jpg</t>
  </si>
  <si>
    <t xml:space="preserve">余秀兰（33）：正常状态.png</t>
  </si>
  <si>
    <t xml:space="preserve">https://raw.githubusercontent.com/Shellingfordh/echoes-of-us/main/assets/余秀兰（33）：正常状态.png</t>
  </si>
  <si>
    <t xml:space="preserve">assets/余秀兰（33）：浅然莞尔.png</t>
  </si>
  <si>
    <t xml:space="preserve">余秀兰（33）：浅然莞尔.png</t>
  </si>
  <si>
    <t xml:space="preserve">浅然莞尔</t>
  </si>
  <si>
    <t xml:space="preserve">https://raw.githubusercontent.com/Shellingfordh/echoes-of-us/main/assets/余秀兰（33）：浅然莞尔.png</t>
  </si>
  <si>
    <t xml:space="preserve">assets/余秀兰（33）：触景生情.png</t>
  </si>
  <si>
    <t xml:space="preserve">余秀兰（33）：触景生情.png</t>
  </si>
  <si>
    <t xml:space="preserve">触景生情</t>
  </si>
  <si>
    <t xml:space="preserve">同 SHA：assets/余秀兰（33）：强忍悲戚.png</t>
  </si>
  <si>
    <t xml:space="preserve">https://raw.githubusercontent.com/Shellingfordh/echoes-of-us/main/assets/余秀兰（33）：触景生情.png</t>
  </si>
  <si>
    <t xml:space="preserve">余秀兰（48）：强忍悲戚.png</t>
  </si>
  <si>
    <t xml:space="preserve">余秀兰（48）</t>
  </si>
  <si>
    <t xml:space="preserve">https://raw.githubusercontent.com/Shellingfordh/echoes-of-us/main/assets/余秀兰（48）：强忍悲戚.png</t>
  </si>
  <si>
    <t xml:space="preserve">余秀兰（48）：欣然愉悦.png</t>
  </si>
  <si>
    <t xml:space="preserve">https://raw.githubusercontent.com/Shellingfordh/echoes-of-us/main/assets/余秀兰（48）：欣然愉悦.png</t>
  </si>
  <si>
    <t xml:space="preserve">余秀兰（48）：正常状态.png</t>
  </si>
  <si>
    <t xml:space="preserve">https://raw.githubusercontent.com/Shellingfordh/echoes-of-us/main/assets/余秀兰（48）：正常状态.png</t>
  </si>
  <si>
    <t xml:space="preserve">余秀兰（48）：满眼宠溺.png</t>
  </si>
  <si>
    <t xml:space="preserve">满眼宠溺</t>
  </si>
  <si>
    <t xml:space="preserve">https://raw.githubusercontent.com/Shellingfordh/echoes-of-us/main/assets/余秀兰（48）：满眼宠溺.png</t>
  </si>
  <si>
    <t xml:space="preserve">assets/余秀兰（48）：疑问惊讶.jpg</t>
  </si>
  <si>
    <t xml:space="preserve">余秀兰（48）：疑问惊讶.jpg</t>
  </si>
  <si>
    <t xml:space="preserve">疑问惊讶</t>
  </si>
  <si>
    <t xml:space="preserve">https://raw.githubusercontent.com/Shellingfordh/echoes-of-us/main/assets/余秀兰（48）：疑问惊讶.jpg</t>
  </si>
  <si>
    <t xml:space="preserve">余秀兰（48）：积郁烦闷.png</t>
  </si>
  <si>
    <t xml:space="preserve">积郁烦闷</t>
  </si>
  <si>
    <t xml:space="preserve">https://raw.githubusercontent.com/Shellingfordh/echoes-of-us/main/assets/余秀兰（48）：积郁烦闷.png</t>
  </si>
  <si>
    <t xml:space="preserve">assets/余秀兰（48）：警觉审视.png</t>
  </si>
  <si>
    <t xml:space="preserve">余秀兰（48）：警觉审视.png</t>
  </si>
  <si>
    <t xml:space="preserve">警觉审视</t>
  </si>
  <si>
    <t xml:space="preserve">https://raw.githubusercontent.com/Shellingfordh/echoes-of-us/main/assets/余秀兰（48）：警觉审视.png</t>
  </si>
  <si>
    <t xml:space="preserve">assets/余秀兰（48）：阴…….jpg</t>
  </si>
  <si>
    <t xml:space="preserve">余秀兰（48）：阴…….jpg</t>
  </si>
  <si>
    <t xml:space="preserve">阴……</t>
  </si>
  <si>
    <t xml:space="preserve">https://raw.githubusercontent.com/Shellingfordh/echoes-of-us/main/assets/余秀兰（48）：阴…….jpg</t>
  </si>
  <si>
    <t xml:space="preserve">资产与版本审计</t>
  </si>
  <si>
    <t xml:space="preserve">检查项</t>
  </si>
  <si>
    <t xml:space="preserve">仓库现状</t>
  </si>
  <si>
    <t xml:space="preserve">处理</t>
  </si>
  <si>
    <t xml:space="preserve">30 个文件；29 个角色立绘</t>
  </si>
  <si>
    <t xml:space="preserve">已绑定 77/78 条对白</t>
  </si>
  <si>
    <t xml:space="preserve">重复内容</t>
  </si>
  <si>
    <t xml:space="preserve">2 个文件与其他文件 SHA 相同</t>
  </si>
  <si>
    <t xml:space="preserve">保留文件名映射；建议后续去重</t>
  </si>
  <si>
    <t xml:space="preserve">对白版本</t>
  </si>
  <si>
    <t xml:space="preserve">文档 v3.7 / 运行 JSON version 1</t>
  </si>
  <si>
    <t xml:space="preserve">本表以剧情对白表 v3.7 为准</t>
  </si>
  <si>
    <t xml:space="preserve">立绘槽位映射规则</t>
  </si>
  <si>
    <t xml:space="preserve">推荐槽位不是现有文件名，而是供美术与程序统一命名的建议 ID；补齐立绘后，可在“对白匹配”表中将状态改为“已绑定”。</t>
  </si>
  <si>
    <t xml:space="preserve">角色版本规则</t>
  </si>
  <si>
    <t xml:space="preserve">对白角色</t>
  </si>
  <si>
    <t xml:space="preserve">槽位前缀</t>
  </si>
  <si>
    <t xml:space="preserve">余念／余念·独白</t>
  </si>
  <si>
    <t xml:space="preserve">YN23</t>
  </si>
  <si>
    <t xml:space="preserve">YN07</t>
  </si>
  <si>
    <t xml:space="preserve">YXL48</t>
  </si>
  <si>
    <t xml:space="preserve">YXL33</t>
  </si>
  <si>
    <t xml:space="preserve">HS_GIRL</t>
  </si>
  <si>
    <t xml:space="preserve">情绪归类规则（按优先级）</t>
  </si>
  <si>
    <t xml:space="preserve">槽位后缀</t>
  </si>
  <si>
    <t xml:space="preserve">关键词示例</t>
  </si>
  <si>
    <t xml:space="preserve">说明</t>
  </si>
  <si>
    <t xml:space="preserve">SHOCK</t>
  </si>
  <si>
    <t xml:space="preserve">震惊、错愕、惊讶、警惕</t>
  </si>
  <si>
    <t xml:space="preserve">高优先级</t>
  </si>
  <si>
    <t xml:space="preserve">FEAR</t>
  </si>
  <si>
    <t xml:space="preserve">恐惧、惊慌、危险、紧张</t>
  </si>
  <si>
    <t xml:space="preserve">SAD</t>
  </si>
  <si>
    <t xml:space="preserve">受伤、失落、委屈、不舍、愧疚、压抑</t>
  </si>
  <si>
    <t xml:space="preserve">可参考现有哀悼图，但需先确认角色</t>
  </si>
  <si>
    <t xml:space="preserve">IRRITATED</t>
  </si>
  <si>
    <t xml:space="preserve">烦、抗拒、防御、固执、不满</t>
  </si>
  <si>
    <t xml:space="preserve">冲突/边界感</t>
  </si>
  <si>
    <t xml:space="preserve">WARM</t>
  </si>
  <si>
    <t xml:space="preserve">兴奋、柔软、温柔、信任、释然、安定</t>
  </si>
  <si>
    <t xml:space="preserve">正向或缓和</t>
  </si>
  <si>
    <t xml:space="preserve">CONCERNED</t>
  </si>
  <si>
    <t xml:space="preserve">担心、关心、照料、忙碌、专注、沉着</t>
  </si>
  <si>
    <t xml:space="preserve">母亲常用</t>
  </si>
  <si>
    <t xml:space="preserve">命名示例</t>
  </si>
  <si>
    <t xml:space="preserve">对白</t>
  </si>
  <si>
    <t xml:space="preserve">推荐槽位</t>
  </si>
  <si>
    <t xml:space="preserve">含义</t>
  </si>
  <si>
    <t xml:space="preserve">余念；委屈/抗拒</t>
  </si>
  <si>
    <t xml:space="preserve">23 岁余念，低落表情</t>
  </si>
  <si>
    <t xml:space="preserve">年轻余秀兰；恐惧/镇定</t>
  </si>
  <si>
    <t xml:space="preserve">33 岁余秀兰，紧张表情</t>
  </si>
  <si>
    <t xml:space="preserve">七岁余念；兴奋</t>
  </si>
  <si>
    <t xml:space="preserve">7 岁余念，轻快表情</t>
  </si>
  <si>
    <t> </t>
    <phoneticPr fontId="1" type="noConversion" alignment="left"/>
  </si>
  <si>
    <t>  </t>
    <phoneticPr fontId="1" type="noConversion" alignment="left"/>
  </si>
  <si>
    <t>   </t>
    <phoneticPr fontId="1" type="noConversion" alignment="left"/>
  </si>
  <si>
    <t>    </t>
    <phoneticPr fontId="1" type="noConversion" alignment="left"/>
  </si>
  <si>
    <t>     </t>
    <phoneticPr fontId="1" type="noConversion" alignment="left"/>
  </si>
  <si>
    <t>      </t>
    <phoneticPr fontId="1" type="noConversion" alignment="left"/>
  </si>
  <si>
    <t>       </t>
    <phoneticPr fontId="1" type="noConversion" alignment="left"/>
  </si>
  <si>
    <t>“余念！抓紧！别往下看——对，往上爬。妈妈在这儿。” </t>
    <phoneticPr fontId="1" type="noConversion" alignment="left"/>
  </si>
  <si>
    <t>“余念！抓紧！别往下看——对，往上爬。妈妈在这儿。”  </t>
    <phoneticPr fontId="1" type="noConversion" alignment="left"/>
  </si>
  <si>
    <t>“余念！抓紧！别往下看——对，往上爬。妈妈在这儿。”   </t>
    <phoneticPr fontId="1" type="noConversion" alignment="left"/>
  </si>
  <si>
    <t>“余念！抓紧！别往下看——对，往上爬。妈妈在这儿。”    </t>
    <phoneticPr fontId="1" type="noConversion" alignment="left"/>
  </si>
  <si>
    <t>“余念！抓紧！别往下看——对，往上爬。妈妈在这儿。”     </t>
    <phoneticPr fontId="1" type="noConversion" alignment="left"/>
  </si>
  <si>
    <t>“余念！抓紧！别往下看——对，往上爬。妈妈在这儿。”      </t>
    <phoneticPr fontId="1" type="noConversion" alignment="left"/>
  </si>
  <si>
    <t>高兴</t>
    <phoneticPr fontId="1" type="noConversion" alignment="left"/>
  </si>
  <si>
    <t>高兴》</t>
    <phoneticPr fontId="1" type="noConversion" alignment="left"/>
  </si>
  <si>
    <t>高兴/</t>
    <phoneticPr fontId="1" type="noConversion" alignment="left"/>
  </si>
  <si>
    <t>高兴/激动</t>
    <phoneticPr fontId="1" type="noConversion" alignment="left"/>
  </si>
  <si>
    <t>关切/专注</t>
    <phoneticPr fontId="1" type="noConversion" alignment="left"/>
  </si>
  <si>
    <t>中/克制</t>
    <phoneticPr fontId="1" type="noConversion" alignment="left"/>
  </si>
  <si>
    <t>/克制</t>
    <phoneticPr fontId="1" type="noConversion" alignment="left"/>
  </si>
  <si>
    <t>烦躁/克制</t>
    <phoneticPr fontId="1" type="noConversion" alignment="left"/>
  </si>
  <si>
    <t>烦躁/克</t>
    <phoneticPr fontId="1" type="noConversion" alignment="left"/>
  </si>
  <si>
    <t>烦躁/</t>
    <phoneticPr fontId="1" type="noConversion" alignment="left"/>
  </si>
  <si>
    <t>烦躁/激动</t>
    <phoneticPr fontId="1" type="noConversion" alignment="left"/>
  </si>
  <si>
    <t>烦躁/激</t>
    <phoneticPr fontId="1" type="noConversion" alignment="left"/>
  </si>
  <si>
    <t>烦躁/兴奋</t>
    <phoneticPr fontId="1" type="noConversion" alignment="left"/>
  </si>
  <si>
    <t>中性/克制</t>
    <phoneticPr fontId="1" type="noConversion" alignment="left"/>
  </si>
  <si>
    <t>阴沉/克制</t>
    <phoneticPr fontId="1" type="noConversion" alignment="left"/>
  </si>
  <si>
    <t>阴沉/克</t>
    <phoneticPr fontId="1" type="noConversion" alignment="left"/>
  </si>
  <si>
    <t>阴沉/</t>
    <phoneticPr fontId="1" type="noConversion" alignment="left"/>
  </si>
  <si>
    <t>阴沉/受伤</t>
    <phoneticPr fontId="1" type="noConversion" alignment="left"/>
  </si>
  <si>
    <t>烦躁/防御</t>
    <phoneticPr fontId="1" type="noConversion" alignment="left"/>
  </si>
  <si>
    <t>assets/余秀兰（48）：阴……(透).png</t>
    <phoneticPr fontId="1" type="noConversion" alignment="left"/>
  </si>
  <si>
    <t>assets/余念（23）：烦躁郁闷.png</t>
    <phoneticPr fontId="1" type="noConversion" alignment="left"/>
  </si>
  <si>
    <t>assets/余念（7）：欣然愉悦(透).png</t>
    <phoneticPr fontId="1" type="noConversion" alignment="left"/>
  </si>
  <si>
    <t>https://github.com/Shellingfordh/echoes-of-us/blob/main/assets/%E4%BD%99%E5%BF%B5%EF%BC%887%EF%BC%89%EF%BC%9A%E6%AC%A3%E7%84%B6%E6%84%89%E6%82%A6(%E9%80%8F).png</t>
    <phoneticPr fontId="1" type="noConversion" alignment="left"/>
  </si>
  <si>
    <t>https://github.com/Shellingfordh/echoes-of-us/blob/main/assets/%E4%BD%99%E5%BF%B5%EF%BC%887%EF%BC%89%EF%BC%9A%E6%AC%A3%E7%84%B6%E6%84%89%E6%82%A6(%E9%80%8F).pngs/余念（7）：欣然愉悦(透).png</t>
    <phoneticPr fontId="1" type="noConversion" alignment="left"/>
  </si>
</sst>
</file>

<file path=xl/styles.xml><?xml version="1.0" encoding="utf-8"?>
<styleSheet xmlns:xr9="http://schemas.microsoft.com/office/spreadsheetml/2016/revision9" xmlns:mc="http://schemas.openxmlformats.org/markup-compatibility/2006" xmlns="http://schemas.openxmlformats.org/spreadsheetml/2006/main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.000000"/>
      <name val="Carlito"/>
      <charset val="134"/>
    </font>
    <font>
      <b val="1"/>
      <sz val="18.000000"/>
      <color rgb="FFFFFFFF"/>
      <name val="Carlito"/>
      <charset val="134"/>
    </font>
    <font>
      <i val="1"/>
      <sz val="11.000000"/>
      <color rgb="FF243447"/>
      <name val="Carlito"/>
      <charset val="134"/>
    </font>
    <font>
      <b val="1"/>
      <sz val="12.000000"/>
      <color rgb="FF243447"/>
      <name val="Carlito"/>
      <charset val="134"/>
    </font>
    <font>
      <b val="1"/>
      <sz val="11.000000"/>
      <color rgb="FFFFFFFF"/>
      <name val="Carlito"/>
      <charset val="134"/>
    </font>
    <font>
      <b val="1"/>
      <sz val="11.000000"/>
      <color rgb="FF287D5A"/>
      <name val="Carlito"/>
      <charset val="134"/>
    </font>
    <font>
      <sz val="10.000000"/>
      <color rgb="FF243447"/>
      <name val="Carlito"/>
      <charset val="134"/>
    </font>
    <font>
      <sz val="11.000000"/>
      <color rgb="FF243447"/>
      <name val="Carlito"/>
      <charset val="134"/>
    </font>
    <font>
      <b val="1"/>
      <sz val="22.000000"/>
      <color rgb="FF243447"/>
      <name val="Carlito"/>
      <charset val="134"/>
    </font>
    <font>
      <sz val="11.000000"/>
      <color theme="1"/>
      <name val="Calibri"/>
      <charset val="134"/>
      <scheme val="minor"/>
    </font>
    <font>
      <sz val="11.000000"/>
      <color rgb="FF0000FF"/>
      <u val="single"/>
      <name val="Calibri"/>
      <charset val="0"/>
      <scheme val="minor"/>
    </font>
    <font>
      <sz val="11.000000"/>
      <color rgb="FF800080"/>
      <u val="single"/>
      <name val="Calibri"/>
      <charset val="0"/>
      <scheme val="minor"/>
    </font>
    <font>
      <sz val="11.000000"/>
      <color rgb="FFFF0000"/>
      <name val="Calibri"/>
      <charset val="0"/>
      <scheme val="minor"/>
    </font>
    <font>
      <b val="1"/>
      <sz val="18.000000"/>
      <color theme="3"/>
      <name val="Calibri"/>
      <charset val="134"/>
      <scheme val="minor"/>
    </font>
    <font>
      <i val="1"/>
      <sz val="11.000000"/>
      <color rgb="FF7F7F7F"/>
      <name val="Calibri"/>
      <charset val="0"/>
      <scheme val="minor"/>
    </font>
    <font>
      <b val="1"/>
      <sz val="15.000000"/>
      <color theme="3"/>
      <name val="Calibri"/>
      <charset val="134"/>
      <scheme val="minor"/>
    </font>
    <font>
      <b val="1"/>
      <sz val="13.000000"/>
      <color theme="3"/>
      <name val="Calibri"/>
      <charset val="134"/>
      <scheme val="minor"/>
    </font>
    <font>
      <b val="1"/>
      <sz val="11.000000"/>
      <color theme="3"/>
      <name val="Calibri"/>
      <charset val="134"/>
      <scheme val="minor"/>
    </font>
    <font>
      <sz val="11.000000"/>
      <color rgb="FF3F3F76"/>
      <name val="Calibri"/>
      <charset val="0"/>
      <scheme val="minor"/>
    </font>
    <font>
      <b val="1"/>
      <sz val="11.000000"/>
      <color rgb="FF3F3F3F"/>
      <name val="Calibri"/>
      <charset val="0"/>
      <scheme val="minor"/>
    </font>
    <font>
      <b val="1"/>
      <sz val="11.000000"/>
      <color rgb="FFFA7D00"/>
      <name val="Calibri"/>
      <charset val="0"/>
      <scheme val="minor"/>
    </font>
    <font>
      <b val="1"/>
      <sz val="11.000000"/>
      <color rgb="FFFFFFFF"/>
      <name val="Calibri"/>
      <charset val="0"/>
      <scheme val="minor"/>
    </font>
    <font>
      <sz val="11.000000"/>
      <color rgb="FFFA7D00"/>
      <name val="Calibri"/>
      <charset val="0"/>
      <scheme val="minor"/>
    </font>
    <font>
      <b val="1"/>
      <sz val="11.000000"/>
      <color theme="1"/>
      <name val="Calibri"/>
      <charset val="0"/>
      <scheme val="minor"/>
    </font>
    <font>
      <sz val="11.000000"/>
      <color rgb="FF006100"/>
      <name val="Calibri"/>
      <charset val="0"/>
      <scheme val="minor"/>
    </font>
    <font>
      <sz val="11.000000"/>
      <color rgb="FF9C0006"/>
      <name val="Calibri"/>
      <charset val="0"/>
      <scheme val="minor"/>
    </font>
    <font>
      <sz val="11.000000"/>
      <color rgb="FF9C6500"/>
      <name val="Calibri"/>
      <charset val="0"/>
      <scheme val="minor"/>
    </font>
    <font>
      <sz val="11.000000"/>
      <color theme="0"/>
      <name val="Calibri"/>
      <charset val="0"/>
      <scheme val="minor"/>
    </font>
    <font>
      <sz val="11.000000"/>
      <color theme="1"/>
      <name val="Calibri"/>
      <charset val="0"/>
      <scheme val="minor"/>
    </font>
    <font>
      <sz val="10.000000"/>
      <color rgb="FF243447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243447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334E68"/>
        <bgColor indexed="64"/>
      </patternFill>
    </fill>
    <fill>
      <patternFill patternType="solid">
        <fgColor rgb="FFE8F5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334E68"/>
      </bottom>
      <diagonal/>
    </border>
    <border>
      <left/>
      <right/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vertical="center"/>
    </xf>
    <xf numFmtId="0" fontId="4" fillId="5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0" fillId="0" borderId="2" xfId="49" applyNumberFormat="1" applyFont="1" applyFill="1" applyBorder="1" applyAlignment="1">
      <alignment wrapText="1"/>
    </xf>
    <xf numFmtId="0" fontId="0" fillId="0" borderId="3" xfId="49" applyNumberFormat="1" applyFont="1" applyFill="1" applyBorder="1" applyAlignment="1">
      <alignment wrapText="1"/>
    </xf>
    <xf numFmtId="0" fontId="0" fillId="0" borderId="4" xfId="49" applyNumberFormat="1" applyFont="1" applyFill="1" applyBorder="1" applyAlignment="1">
      <alignment wrapText="1"/>
    </xf>
    <xf numFmtId="0" fontId="5" fillId="6" borderId="0" xfId="49" applyNumberFormat="1" applyFont="1" applyFill="1" applyBorder="1" applyAlignment="1">
      <alignment vertical="center"/>
    </xf>
    <xf numFmtId="0" fontId="6" fillId="0" borderId="2" xfId="49" applyNumberFormat="1" applyFont="1" applyFill="1" applyBorder="1" applyAlignment="1">
      <alignment vertical="top" wrapText="1"/>
    </xf>
    <xf numFmtId="3" fontId="6" fillId="0" borderId="2" xfId="49" applyNumberFormat="1" applyFont="1" applyFill="1" applyBorder="1" applyAlignment="1">
      <alignment vertical="top" wrapText="1"/>
    </xf>
    <xf numFmtId="2" fontId="6" fillId="0" borderId="2" xfId="49" applyNumberFormat="1" applyFont="1" applyFill="1" applyBorder="1" applyAlignment="1">
      <alignment vertical="top" wrapText="1"/>
    </xf>
    <xf numFmtId="0" fontId="6" fillId="0" borderId="3" xfId="49" applyNumberFormat="1" applyFont="1" applyFill="1" applyBorder="1" applyAlignment="1">
      <alignment vertical="top" wrapText="1"/>
    </xf>
    <xf numFmtId="3" fontId="6" fillId="0" borderId="3" xfId="49" applyNumberFormat="1" applyFont="1" applyFill="1" applyBorder="1" applyAlignment="1">
      <alignment vertical="top" wrapText="1"/>
    </xf>
    <xf numFmtId="2" fontId="6" fillId="0" borderId="3" xfId="49" applyNumberFormat="1" applyFont="1" applyFill="1" applyBorder="1" applyAlignment="1">
      <alignment vertical="top" wrapText="1"/>
    </xf>
    <xf numFmtId="0" fontId="6" fillId="0" borderId="4" xfId="49" applyNumberFormat="1" applyFont="1" applyFill="1" applyBorder="1" applyAlignment="1">
      <alignment vertical="top" wrapText="1"/>
    </xf>
    <xf numFmtId="3" fontId="6" fillId="0" borderId="4" xfId="49" applyNumberFormat="1" applyFont="1" applyFill="1" applyBorder="1" applyAlignment="1">
      <alignment vertical="top" wrapText="1"/>
    </xf>
    <xf numFmtId="2" fontId="6" fillId="0" borderId="4" xfId="49" applyNumberFormat="1" applyFont="1" applyFill="1" applyBorder="1" applyAlignment="1">
      <alignment vertical="top" wrapText="1"/>
    </xf>
    <xf numFmtId="0" fontId="0" fillId="7" borderId="0" xfId="49" applyFill="1"/>
    <xf numFmtId="0" fontId="2" fillId="3" borderId="0" xfId="49" applyNumberFormat="1" applyFont="1" applyFill="1" applyBorder="1" applyAlignment="1">
      <alignment vertical="center" wrapText="1"/>
    </xf>
    <xf numFmtId="0" fontId="5" fillId="6" borderId="0" xfId="49" applyNumberFormat="1" applyFont="1" applyFill="1" applyBorder="1" applyAlignment="1">
      <alignment vertical="center" wrapText="1"/>
    </xf>
    <xf numFmtId="1" fontId="6" fillId="0" borderId="2" xfId="49" applyNumberFormat="1" applyFont="1" applyFill="1" applyBorder="1" applyAlignment="1">
      <alignment horizontal="center" vertical="top" wrapText="1"/>
    </xf>
    <xf numFmtId="0" fontId="6" fillId="0" borderId="2" xfId="49" applyNumberFormat="1" applyFont="1" applyFill="1" applyBorder="1" applyAlignment="1">
      <alignment horizontal="center" vertical="top" wrapText="1"/>
    </xf>
    <xf numFmtId="1" fontId="6" fillId="0" borderId="3" xfId="49" applyNumberFormat="1" applyFont="1" applyFill="1" applyBorder="1" applyAlignment="1">
      <alignment horizontal="center" vertical="top" wrapText="1"/>
    </xf>
    <xf numFmtId="0" fontId="6" fillId="0" borderId="3" xfId="49" applyNumberFormat="1" applyFont="1" applyFill="1" applyBorder="1" applyAlignment="1">
      <alignment horizontal="center" vertical="top" wrapText="1"/>
    </xf>
    <xf numFmtId="1" fontId="6" fillId="7" borderId="3" xfId="49" applyNumberFormat="1" applyFont="1" applyFill="1" applyBorder="1" applyAlignment="1">
      <alignment horizontal="center" vertical="top" wrapText="1"/>
    </xf>
    <xf numFmtId="0" fontId="6" fillId="7" borderId="3" xfId="49" applyNumberFormat="1" applyFont="1" applyFill="1" applyBorder="1" applyAlignment="1">
      <alignment horizontal="center" vertical="top" wrapText="1"/>
    </xf>
    <xf numFmtId="0" fontId="6" fillId="7" borderId="3" xfId="49" applyNumberFormat="1" applyFont="1" applyFill="1" applyBorder="1" applyAlignment="1">
      <alignment vertical="top" wrapText="1"/>
    </xf>
    <xf numFmtId="1" fontId="6" fillId="0" borderId="4" xfId="49" applyNumberFormat="1" applyFont="1" applyFill="1" applyBorder="1" applyAlignment="1">
      <alignment horizontal="center" vertical="top" wrapText="1"/>
    </xf>
    <xf numFmtId="0" fontId="6" fillId="0" borderId="4" xfId="49" applyNumberFormat="1" applyFont="1" applyFill="1" applyBorder="1" applyAlignment="1">
      <alignment horizontal="center" vertical="top" wrapText="1"/>
    </xf>
    <xf numFmtId="0" fontId="7" fillId="4" borderId="0" xfId="49" applyNumberFormat="1" applyFont="1" applyFill="1" applyBorder="1" applyAlignment="1">
      <alignment vertical="center"/>
    </xf>
    <xf numFmtId="0" fontId="4" fillId="5" borderId="0" xfId="49" applyNumberFormat="1" applyFont="1" applyFill="1" applyBorder="1" applyAlignment="1">
      <alignment horizontal="center"/>
    </xf>
    <xf numFmtId="0" fontId="8" fillId="8" borderId="5" xfId="49" applyNumberFormat="1" applyFont="1" applyFill="1" applyBorder="1" applyAlignment="1">
      <alignment horizontal="center" vertical="center"/>
    </xf>
    <xf numFmtId="0" fontId="8" fillId="8" borderId="6" xfId="49" applyNumberFormat="1" applyFont="1" applyFill="1" applyBorder="1" applyAlignment="1">
      <alignment horizontal="center" vertical="center"/>
    </xf>
    <xf numFmtId="0" fontId="8" fillId="6" borderId="5" xfId="49" applyNumberFormat="1" applyFont="1" applyFill="1" applyBorder="1" applyAlignment="1">
      <alignment horizontal="center" vertical="center"/>
    </xf>
    <xf numFmtId="0" fontId="8" fillId="6" borderId="6" xfId="49" applyNumberFormat="1" applyFont="1" applyFill="1" applyBorder="1" applyAlignment="1">
      <alignment horizontal="center" vertical="center"/>
    </xf>
    <xf numFmtId="0" fontId="8" fillId="9" borderId="5" xfId="49" applyNumberFormat="1" applyFont="1" applyFill="1" applyBorder="1" applyAlignment="1">
      <alignment horizontal="center" vertical="center"/>
    </xf>
    <xf numFmtId="0" fontId="8" fillId="9" borderId="6" xfId="49" applyNumberFormat="1" applyFont="1" applyFill="1" applyBorder="1" applyAlignment="1">
      <alignment horizontal="center" vertical="center"/>
    </xf>
    <xf numFmtId="0" fontId="8" fillId="8" borderId="7" xfId="49" applyNumberFormat="1" applyFont="1" applyFill="1" applyBorder="1" applyAlignment="1">
      <alignment horizontal="center" vertical="center"/>
    </xf>
    <xf numFmtId="0" fontId="8" fillId="8" borderId="8" xfId="49" applyNumberFormat="1" applyFont="1" applyFill="1" applyBorder="1" applyAlignment="1">
      <alignment horizontal="center" vertical="center"/>
    </xf>
    <xf numFmtId="0" fontId="8" fillId="6" borderId="7" xfId="49" applyNumberFormat="1" applyFont="1" applyFill="1" applyBorder="1" applyAlignment="1">
      <alignment horizontal="center" vertical="center"/>
    </xf>
    <xf numFmtId="0" fontId="8" fillId="6" borderId="8" xfId="49" applyNumberFormat="1" applyFont="1" applyFill="1" applyBorder="1" applyAlignment="1">
      <alignment horizontal="center" vertical="center"/>
    </xf>
    <xf numFmtId="0" fontId="8" fillId="9" borderId="7" xfId="49" applyNumberFormat="1" applyFont="1" applyFill="1" applyBorder="1" applyAlignment="1">
      <alignment horizontal="center" vertical="center"/>
    </xf>
    <xf numFmtId="0" fontId="8" fillId="9" borderId="8" xfId="49" applyNumberFormat="1" applyFont="1" applyFill="1" applyBorder="1" applyAlignment="1">
      <alignment horizontal="center" vertical="center"/>
    </xf>
    <xf numFmtId="0" fontId="0" fillId="0" borderId="2" xfId="49" applyNumberFormat="1" applyFont="1" applyFill="1" applyBorder="1"/>
    <xf numFmtId="1" fontId="0" fillId="0" borderId="2" xfId="49" applyNumberFormat="1" applyFont="1" applyFill="1" applyBorder="1"/>
    <xf numFmtId="0" fontId="0" fillId="0" borderId="3" xfId="49" applyNumberFormat="1" applyFont="1" applyFill="1" applyBorder="1"/>
    <xf numFmtId="1" fontId="0" fillId="0" borderId="3" xfId="49" applyNumberFormat="1" applyFont="1" applyFill="1" applyBorder="1"/>
    <xf numFmtId="0" fontId="0" fillId="0" borderId="4" xfId="49" applyNumberFormat="1" applyFont="1" applyFill="1" applyBorder="1"/>
    <xf numFmtId="1" fontId="0" fillId="0" borderId="4" xfId="49" applyNumberFormat="1" applyFont="1" applyFill="1" applyBorder="1"/>
    <xf numFmtId="0" fontId="7" fillId="8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B54747"/>
      </font>
      <fill>
        <patternFill patternType="solid">
          <bgColor rgb="FFFDECEC"/>
        </patternFill>
      </fill>
    </dxf>
    <dxf>
      <font>
        <b val="1"/>
        <color rgb="FF8A5B00"/>
      </font>
      <fill>
        <patternFill patternType="solid">
          <bgColor rgb="FFFFF3CD"/>
        </patternFill>
      </fill>
    </dxf>
    <dxf>
      <font>
        <b val="1"/>
        <color rgb="FF287D5A"/>
      </font>
      <fill>
        <patternFill patternType="solid">
          <bgColor rgb="FFE8F5E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theme" Target="theme/theme1.xml" /><Relationship Id="rId5" Type="http://schemas.openxmlformats.org/officeDocument/2006/relationships/styles" Target="styles.xml" /><Relationship Id="rId7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"/>
        <a:ea typeface="Calibri Light"/>
        <a:cs typeface="Calibri Light"/>
      </a:majorFont>
      <a:minorFont>
        <a:latin typeface="Calibri" panose=""/>
        <a:ea typeface="Calibri"/>
        <a:cs typeface="Calibri"/>
      </a:minorFont>
    </a:fontScheme>
    <a:fmtScheme name="ChatGPT">
      <a:fillStyleLst>
        <a:solidFill>
          <a:schemeClr val="phClr"/>
        </a:solidFill>
        <a:gradFill rotWithShape="0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0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0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selection activeCell="A1" sqref="A1:H1"/>
    </sheetView>
  </sheetViews>
  <sheetFormatPr defaultColWidth="9" defaultRowHeight="14" outlineLevelCol="7"/>
  <cols>
    <col min="1" max="1" width="18.75" customWidth="1"/>
    <col min="2" max="2" width="13.75" customWidth="1"/>
    <col min="3" max="3" width="18.75" customWidth="1"/>
    <col min="4" max="4" width="23.75" customWidth="1"/>
    <col min="5" max="5" width="18.75" customWidth="1"/>
    <col min="6" max="6" width="13.75" customWidth="1"/>
    <col min="7" max="7" width="18.75" customWidth="1"/>
    <col min="8" max="8" width="13.75" customWidth="1"/>
  </cols>
  <sheetData>
    <row r="1" ht="28.5" customHeight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8">
      <c r="A2" s="33" t="s">
        <v>1</v>
      </c>
      <c r="B2" s="33" t="s">
        <v>1</v>
      </c>
      <c r="C2" s="33" t="s">
        <v>1</v>
      </c>
      <c r="D2" s="33" t="s">
        <v>1</v>
      </c>
      <c r="E2" s="33" t="s">
        <v>1</v>
      </c>
      <c r="F2" s="33" t="s">
        <v>1</v>
      </c>
      <c r="G2" s="33" t="s">
        <v>1</v>
      </c>
      <c r="H2" s="33" t="s">
        <v>1</v>
      </c>
    </row>
    <row r="4" spans="1:8">
      <c r="A4" s="34" t="s">
        <v>2</v>
      </c>
      <c r="B4" s="34" t="s">
        <v>2</v>
      </c>
      <c r="C4" s="34" t="s">
        <v>3</v>
      </c>
      <c r="D4" s="34" t="s">
        <v>3</v>
      </c>
      <c r="E4" s="34" t="s">
        <v>4</v>
      </c>
      <c r="F4" s="34" t="s">
        <v>4</v>
      </c>
      <c r="G4" s="34" t="s">
        <v>5</v>
      </c>
      <c r="H4" s="34" t="s">
        <v>5</v>
      </c>
    </row>
    <row r="5" spans="1:8">
      <c r="A5" s="35">
        <f>COUNTA(对白匹配!B6:B83)</f>
        <v>78</v>
      </c>
      <c r="B5" s="36"/>
      <c r="C5" s="35">
        <f>COUNTA(资产清单!A6:A35)</f>
        <v>30</v>
      </c>
      <c r="D5" s="36"/>
      <c r="E5" s="37">
        <f>COUNTIF(对白匹配!N6:N83,"已绑定（直接）")+COUNTIF(对白匹配!N6:N83,"已绑定（近似）")</f>
        <v>77</v>
      </c>
      <c r="F5" s="38"/>
      <c r="G5" s="39">
        <f>COUNTIF(对白匹配!N6:N83,"缺少角色立绘")</f>
        <v>1</v>
      </c>
      <c r="H5" s="40"/>
    </row>
    <row r="6" spans="1:8">
      <c r="A6" s="41"/>
      <c r="B6" s="42"/>
      <c r="C6" s="41"/>
      <c r="D6" s="42"/>
      <c r="E6" s="43"/>
      <c r="F6" s="44"/>
      <c r="G6" s="45"/>
      <c r="H6" s="46"/>
    </row>
    <row r="8" ht="19.5" customHeight="1" spans="1:8">
      <c r="A8" s="3" t="s">
        <v>6</v>
      </c>
      <c r="B8" s="3" t="s">
        <v>6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spans="1:8">
      <c r="A9" s="34" t="s">
        <v>7</v>
      </c>
      <c r="B9" s="34" t="s">
        <v>8</v>
      </c>
      <c r="C9" s="34" t="s">
        <v>9</v>
      </c>
      <c r="D9" s="34" t="s">
        <v>10</v>
      </c>
      <c r="E9" t="s">
        <v>11</v>
      </c>
      <c r="F9" t="s">
        <v>11</v>
      </c>
      <c r="G9" t="s">
        <v>11</v>
      </c>
      <c r="H9" t="s">
        <v>11</v>
      </c>
    </row>
    <row r="10" ht="51" customHeight="1" spans="1:8">
      <c r="A10" s="5" t="s">
        <v>12</v>
      </c>
      <c r="B10" s="5" t="s">
        <v>13</v>
      </c>
      <c r="C10" s="5" t="s">
        <v>14</v>
      </c>
      <c r="D10" s="5" t="s">
        <v>15</v>
      </c>
      <c r="E10" t="s">
        <v>11</v>
      </c>
      <c r="F10" t="s">
        <v>11</v>
      </c>
      <c r="G10" t="s">
        <v>11</v>
      </c>
      <c r="H10" t="s">
        <v>11</v>
      </c>
    </row>
    <row r="11" ht="51" customHeight="1" spans="1:8">
      <c r="A11" s="6" t="s">
        <v>16</v>
      </c>
      <c r="B11" s="6" t="s">
        <v>17</v>
      </c>
      <c r="C11" s="6" t="s">
        <v>18</v>
      </c>
      <c r="D11" s="6" t="s">
        <v>19</v>
      </c>
      <c r="E11" t="s">
        <v>11</v>
      </c>
      <c r="F11" t="s">
        <v>11</v>
      </c>
      <c r="G11" t="s">
        <v>11</v>
      </c>
      <c r="H11" t="s">
        <v>11</v>
      </c>
    </row>
    <row r="12" ht="51" customHeight="1" spans="1:8">
      <c r="A12" s="7" t="s">
        <v>20</v>
      </c>
      <c r="B12" s="7" t="s">
        <v>21</v>
      </c>
      <c r="C12" s="7" t="s">
        <v>22</v>
      </c>
      <c r="D12" s="7" t="s">
        <v>23</v>
      </c>
      <c r="E12" t="s">
        <v>11</v>
      </c>
      <c r="F12" t="s">
        <v>11</v>
      </c>
      <c r="G12" t="s">
        <v>11</v>
      </c>
      <c r="H12" t="s">
        <v>11</v>
      </c>
    </row>
    <row r="14" ht="19.5" customHeight="1" spans="1:8">
      <c r="A14" s="3" t="s">
        <v>24</v>
      </c>
      <c r="B14" s="3" t="s">
        <v>24</v>
      </c>
      <c r="C14" s="3" t="s">
        <v>24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</row>
    <row r="15" ht="25.5" customHeight="1" spans="1:8">
      <c r="A15" s="4" t="s">
        <v>25</v>
      </c>
      <c r="B15" s="4" t="s">
        <v>26</v>
      </c>
      <c r="D15" s="4" t="s">
        <v>27</v>
      </c>
      <c r="E15" s="4" t="s">
        <v>26</v>
      </c>
    </row>
    <row r="16" spans="1:8">
      <c r="A16" s="47" t="s">
        <v>28</v>
      </c>
      <c r="B16" s="48">
        <f>COUNTIF(对白匹配!C$6:C$83,A16)</f>
        <v>25</v>
      </c>
      <c r="D16" s="47" t="s">
        <v>29</v>
      </c>
      <c r="E16" s="48">
        <f>COUNTIF(对白匹配!J$6:J$83,D16)</f>
        <v>34</v>
      </c>
    </row>
    <row r="17" spans="1:8">
      <c r="A17" s="49" t="s">
        <v>30</v>
      </c>
      <c r="B17" s="50">
        <f>COUNTIF(对白匹配!C$6:C$83,A17)</f>
        <v>14</v>
      </c>
      <c r="D17" s="49" t="s">
        <v>31</v>
      </c>
      <c r="E17" s="50">
        <f>COUNTIF(对白匹配!J$6:J$83,D17)</f>
        <v>7</v>
      </c>
    </row>
    <row r="18" spans="1:8">
      <c r="A18" s="49" t="s">
        <v>32</v>
      </c>
      <c r="B18" s="50">
        <f>COUNTIF(对白匹配!C$6:C$83,A18)</f>
        <v>18</v>
      </c>
      <c r="D18" s="49" t="s">
        <v>33</v>
      </c>
      <c r="E18" s="50">
        <f>COUNTIF(对白匹配!J$6:J$83,D18)</f>
        <v>29</v>
      </c>
    </row>
    <row r="19" spans="1:8">
      <c r="A19" s="49" t="s">
        <v>34</v>
      </c>
      <c r="B19" s="50">
        <f>COUNTIF(对白匹配!C$6:C$83,A19)</f>
        <v>8</v>
      </c>
      <c r="D19" s="49" t="s">
        <v>35</v>
      </c>
      <c r="E19" s="50">
        <f>COUNTIF(对白匹配!J$6:J$83,D19)</f>
        <v>7</v>
      </c>
    </row>
    <row r="20" spans="1:8">
      <c r="A20" s="51" t="s">
        <v>36</v>
      </c>
      <c r="B20" s="52">
        <f>COUNTIF(对白匹配!C$6:C$83,A20)</f>
        <v>13</v>
      </c>
      <c r="D20" s="51" t="s">
        <v>37</v>
      </c>
      <c r="E20" s="52">
        <f>COUNTIF(对白匹配!J$6:J$83,D20)</f>
        <v>1</v>
      </c>
    </row>
    <row r="22" ht="19.5" customHeight="1" spans="1:8">
      <c r="A22" s="3" t="s">
        <v>38</v>
      </c>
      <c r="B22" s="3" t="s">
        <v>38</v>
      </c>
      <c r="C22" s="3" t="s">
        <v>38</v>
      </c>
      <c r="D22" s="3" t="s">
        <v>38</v>
      </c>
      <c r="E22" s="3" t="s">
        <v>38</v>
      </c>
      <c r="F22" s="3" t="s">
        <v>38</v>
      </c>
      <c r="G22" s="3" t="s">
        <v>38</v>
      </c>
      <c r="H22" s="3" t="s">
        <v>38</v>
      </c>
    </row>
    <row r="23" ht="21" customHeight="1" spans="1:8">
      <c r="A23" s="53" t="s">
        <v>39</v>
      </c>
      <c r="B23" s="53"/>
      <c r="C23" s="53"/>
      <c r="D23" s="53"/>
      <c r="E23" s="53"/>
      <c r="F23" s="53"/>
      <c r="G23" s="53"/>
      <c r="H23" s="53"/>
    </row>
    <row r="24" ht="21" customHeight="1" spans="1:8">
      <c r="A24" s="53" t="s">
        <v>40</v>
      </c>
      <c r="B24" s="53"/>
      <c r="C24" s="53"/>
      <c r="D24" s="53"/>
      <c r="E24" s="53"/>
      <c r="F24" s="53"/>
      <c r="G24" s="53"/>
      <c r="H24" s="53"/>
    </row>
    <row r="25" ht="21" customHeight="1" spans="1:8">
      <c r="A25" s="53" t="s">
        <v>41</v>
      </c>
      <c r="B25" s="53"/>
      <c r="C25" s="53"/>
      <c r="D25" s="53"/>
      <c r="E25" s="53"/>
      <c r="F25" s="53"/>
      <c r="G25" s="53"/>
      <c r="H25" s="53"/>
    </row>
  </sheetData>
  <mergeCells count="16">
    <mergeCell ref="A1:H1"/>
    <mergeCell ref="A2:H2"/>
    <mergeCell ref="A4:B4"/>
    <mergeCell ref="C4:D4"/>
    <mergeCell ref="E4:F4"/>
    <mergeCell ref="G4:H4"/>
    <mergeCell ref="A8:H8"/>
    <mergeCell ref="A14:H14"/>
    <mergeCell ref="A22:H22"/>
    <mergeCell ref="A23:H23"/>
    <mergeCell ref="A24:H24"/>
    <mergeCell ref="A25:H25"/>
    <mergeCell ref="A5:B6"/>
    <mergeCell ref="C5:D6"/>
    <mergeCell ref="E5:F6"/>
    <mergeCell ref="G5:H6"/>
  </mergeCells>
  <pageMargins left="0.7" right="0.7" top="0.75" bottom="0.75" header="0.3" footer="0.3"/>
  <headerFooter/>
</worksheet>
</file>

<file path=xl/worksheets/sheet2.xml><?xml version="1.0" encoding="utf-8"?>
<worksheet xmlns:etc="http://www.wps.cn/officeDocument/2017/etCustomData" xmlns:mc="http://schemas.openxmlformats.org/markup-compatibility/2006" xmlns:x14="http://schemas.microsoft.com/office/spreadsheetml/2009/9/main" xmlns="http://schemas.openxmlformats.org/spreadsheetml/2006/main" xmlns:xdr="http://schemas.openxmlformats.org/drawingml/2006/spreadsheetDrawing" xmlns:r="http://schemas.openxmlformats.org/officeDocument/2006/relationships">
  <sheetPr/>
  <dimension ref="A1:P83"/>
  <sheetViews>
    <sheetView showGridLines="0" tabSelected="1" topLeftCell="C53" workbookViewId="0">
      <selection activeCell="R38" activeCellId="0" sqref="R38:R38"/>
    </sheetView>
  </sheetViews>
  <sheetFormatPr defaultColWidth="9.000000" defaultRowHeight="14.000000"/>
  <cols>
    <col min="1" max="1" width="6.250000" customWidth="1"/>
    <col min="2" max="2" width="9.000000" customWidth="1"/>
    <col min="3" max="3" width="15.000000" customWidth="1"/>
    <col min="4" max="4" width="21.250000" customWidth="1"/>
    <col min="5" max="5" width="32.500000" customWidth="1"/>
    <col min="6" max="6" width="11.250000" customWidth="1"/>
    <col min="7" max="7" width="53.750000" customWidth="1"/>
    <col min="8" max="8" width="27.500000" customWidth="1"/>
    <col min="9" max="9" width="7.500000" customWidth="1"/>
    <col min="10" max="10" width="13.750000" customWidth="1"/>
    <col min="11" max="11" width="12.500000" customWidth="1"/>
    <col min="12" max="12" width="18.750000" customWidth="1"/>
    <col min="13" max="13" width="31.250000" customWidth="1"/>
    <col min="14" max="14" width="21.250000" customWidth="1"/>
    <col min="15" max="15" width="40.000000" customWidth="1"/>
    <col min="16" max="16" width="31.250000" customWidth="1"/>
  </cols>
  <sheetData>
    <row r="1" ht="28.5" customHeight="1" spans="1:16">
      <c r="A1" s="1" t="s">
        <v>42</v>
      </c>
      <c r="B1" s="1" t="s">
        <v>42</v>
      </c>
      <c r="C1" s="1" t="s">
        <v>42</v>
      </c>
      <c r="D1" s="1" t="s">
        <v>42</v>
      </c>
      <c r="E1" s="1" t="s">
        <v>42</v>
      </c>
      <c r="F1" s="1" t="s">
        <v>42</v>
      </c>
      <c r="G1" s="1" t="s">
        <v>42</v>
      </c>
      <c r="H1" s="1" t="s">
        <v>42</v>
      </c>
      <c r="I1" s="1" t="s">
        <v>42</v>
      </c>
      <c r="J1" s="1" t="s">
        <v>42</v>
      </c>
      <c r="K1" s="1" t="s">
        <v>42</v>
      </c>
      <c r="L1" s="1" t="s">
        <v>42</v>
      </c>
      <c r="M1" s="1" t="s">
        <v>42</v>
      </c>
      <c r="N1" s="1" t="s">
        <v>42</v>
      </c>
      <c r="O1" s="1" t="s">
        <v>42</v>
      </c>
      <c r="P1" s="1" t="s">
        <v>42</v>
      </c>
    </row>
    <row r="2" ht="31.5" customHeight="1" spans="1:16">
      <c r="A2" s="22" t="s">
        <v>43</v>
      </c>
      <c r="B2" s="22" t="s">
        <v>43</v>
      </c>
      <c r="C2" s="22" t="s">
        <v>43</v>
      </c>
      <c r="D2" s="22" t="s">
        <v>43</v>
      </c>
      <c r="E2" s="22" t="s">
        <v>43</v>
      </c>
      <c r="F2" s="22" t="s">
        <v>43</v>
      </c>
      <c r="G2" s="22" t="s">
        <v>43</v>
      </c>
      <c r="H2" s="22" t="s">
        <v>43</v>
      </c>
      <c r="I2" s="22" t="s">
        <v>43</v>
      </c>
      <c r="J2" s="22" t="s">
        <v>43</v>
      </c>
      <c r="K2" s="22" t="s">
        <v>43</v>
      </c>
      <c r="L2" s="22" t="s">
        <v>43</v>
      </c>
      <c r="M2" s="22" t="s">
        <v>43</v>
      </c>
      <c r="N2" s="22" t="s">
        <v>43</v>
      </c>
      <c r="O2" s="22" t="s">
        <v>43</v>
      </c>
      <c r="P2" s="22" t="s">
        <v>43</v>
      </c>
    </row>
    <row r="3" ht="21" customHeight="1" spans="1:16">
      <c r="A3" s="23" t="s">
        <v>44</v>
      </c>
      <c r="B3" s="23" t="s">
        <v>44</v>
      </c>
      <c r="C3" s="23" t="s">
        <v>44</v>
      </c>
      <c r="D3" s="23" t="s">
        <v>44</v>
      </c>
      <c r="E3" s="23" t="s">
        <v>44</v>
      </c>
      <c r="F3" s="23" t="s">
        <v>44</v>
      </c>
      <c r="G3" s="23" t="s">
        <v>44</v>
      </c>
      <c r="H3" s="23" t="s">
        <v>44</v>
      </c>
      <c r="I3" s="23" t="s">
        <v>44</v>
      </c>
      <c r="J3" s="23" t="s">
        <v>44</v>
      </c>
      <c r="K3" s="23" t="s">
        <v>44</v>
      </c>
      <c r="L3" s="23" t="s">
        <v>44</v>
      </c>
      <c r="M3" s="23" t="s">
        <v>44</v>
      </c>
      <c r="N3" s="23" t="s">
        <v>44</v>
      </c>
      <c r="O3" s="23" t="s">
        <v>44</v>
      </c>
      <c r="P3" s="23" t="s">
        <v>44</v>
      </c>
    </row>
    <row r="5" ht="25.5" customHeight="1" spans="1:16">
      <c r="A5" s="4" t="s">
        <v>45</v>
      </c>
      <c r="B5" s="4" t="s">
        <v>46</v>
      </c>
      <c r="C5" s="4" t="s">
        <v>25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  <c r="J5" s="4" t="s">
        <v>27</v>
      </c>
      <c r="K5" s="4" t="s">
        <v>53</v>
      </c>
      <c r="L5" s="4" t="s">
        <v>54</v>
      </c>
      <c r="M5" s="4" t="s">
        <v>55</v>
      </c>
      <c r="N5" s="4" t="s">
        <v>56</v>
      </c>
      <c r="O5" s="4" t="s">
        <v>57</v>
      </c>
      <c r="P5" s="4" t="s">
        <v>58</v>
      </c>
    </row>
    <row r="6" ht="33" customHeight="1" spans="1:16">
      <c r="A6" s="24">
        <v>1</v>
      </c>
      <c r="B6" s="25" t="s">
        <v>59</v>
      </c>
      <c r="C6" s="12" t="s">
        <v>28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64</v>
      </c>
      <c r="I6" s="25" t="s">
        <v>65</v>
      </c>
      <c r="J6" s="25" t="s">
        <v>29</v>
      </c>
      <c r="K6" s="25" t="s">
        <v>66</v>
      </c>
      <c r="L6" s="25" t="s">
        <v>67</v>
      </c>
      <c r="M6" s="12" t="s">
        <v>68</v>
      </c>
      <c r="N6" s="12" t="s">
        <v>69</v>
      </c>
      <c r="O6" s="12" t="s">
        <v>70</v>
      </c>
      <c r="P6" s="12" t="s">
        <v>71</v>
      </c>
    </row>
    <row r="7" ht="33" customHeight="1" spans="1:16">
      <c r="A7" s="26">
        <v>2</v>
      </c>
      <c r="B7" s="27" t="s">
        <v>72</v>
      </c>
      <c r="C7" s="15" t="s">
        <v>28</v>
      </c>
      <c r="D7" s="15" t="s">
        <v>60</v>
      </c>
      <c r="E7" s="15" t="s">
        <v>73</v>
      </c>
      <c r="F7" s="15" t="s">
        <v>62</v>
      </c>
      <c r="G7" s="15" t="s">
        <v>74</v>
      </c>
      <c r="H7" s="15" t="s">
        <v>75</v>
      </c>
      <c r="I7" s="27" t="s">
        <v>65</v>
      </c>
      <c r="J7" s="27" t="s">
        <v>29</v>
      </c>
      <c r="K7" s="27" t="s">
        <v>76</v>
      </c>
      <c r="L7" s="27" t="s">
        <v>77</v>
      </c>
      <c r="M7" s="15" t="s">
        <v>78</v>
      </c>
      <c r="N7" s="15" t="s">
        <v>69</v>
      </c>
      <c r="O7" s="15" t="s">
        <v>70</v>
      </c>
      <c r="P7" s="15" t="s">
        <v>71</v>
      </c>
    </row>
    <row r="8" ht="33" customHeight="1" spans="1:16">
      <c r="A8" s="26">
        <v>3</v>
      </c>
      <c r="B8" s="27" t="s">
        <v>79</v>
      </c>
      <c r="C8" s="15" t="s">
        <v>28</v>
      </c>
      <c r="D8" s="15" t="s">
        <v>60</v>
      </c>
      <c r="E8" s="15" t="s">
        <v>80</v>
      </c>
      <c r="F8" s="15" t="s">
        <v>62</v>
      </c>
      <c r="G8" s="15" t="s">
        <v>81</v>
      </c>
      <c r="H8" s="15" t="s">
        <v>82</v>
      </c>
      <c r="I8" s="27" t="s">
        <v>65</v>
      </c>
      <c r="J8" s="27" t="s">
        <v>29</v>
      </c>
      <c r="K8" s="27" t="s">
        <v>83</v>
      </c>
      <c r="L8" s="27" t="s">
        <v>84</v>
      </c>
      <c r="M8" s="15" t="s">
        <v>85</v>
      </c>
      <c r="N8" s="15" t="s">
        <v>86</v>
      </c>
      <c r="O8" s="15" t="s">
        <v>87</v>
      </c>
      <c r="P8" s="15" t="s">
        <v>71</v>
      </c>
    </row>
    <row r="9" ht="33" customHeight="1" spans="1:16">
      <c r="A9" s="26">
        <v>4</v>
      </c>
      <c r="B9" s="27" t="s">
        <v>88</v>
      </c>
      <c r="C9" s="15" t="s">
        <v>28</v>
      </c>
      <c r="D9" s="15" t="s">
        <v>60</v>
      </c>
      <c r="E9" s="15" t="s">
        <v>89</v>
      </c>
      <c r="F9" s="15" t="s">
        <v>62</v>
      </c>
      <c r="G9" s="15" t="s">
        <v>90</v>
      </c>
      <c r="H9" s="15" t="s">
        <v>91</v>
      </c>
      <c r="I9" s="27" t="s">
        <v>65</v>
      </c>
      <c r="J9" s="27" t="s">
        <v>29</v>
      </c>
      <c r="K9" s="27" t="s">
        <v>92</v>
      </c>
      <c r="L9" s="27" t="s">
        <v>93</v>
      </c>
      <c r="M9" s="15" t="s">
        <v>94</v>
      </c>
      <c r="N9" s="15" t="s">
        <v>69</v>
      </c>
      <c r="O9" s="15" t="s">
        <v>70</v>
      </c>
      <c r="P9" s="15" t="s">
        <v>71</v>
      </c>
    </row>
    <row r="10" ht="33" customHeight="1" spans="1:16">
      <c r="A10" s="26">
        <v>5</v>
      </c>
      <c r="B10" s="27" t="s">
        <v>95</v>
      </c>
      <c r="C10" s="15" t="s">
        <v>28</v>
      </c>
      <c r="D10" s="15" t="s">
        <v>60</v>
      </c>
      <c r="E10" s="15" t="s">
        <v>96</v>
      </c>
      <c r="F10" s="15" t="s">
        <v>62</v>
      </c>
      <c r="G10" s="15" t="s">
        <v>97</v>
      </c>
      <c r="H10" s="15" t="s">
        <v>98</v>
      </c>
      <c r="I10" s="27" t="s">
        <v>65</v>
      </c>
      <c r="J10" s="27" t="s">
        <v>29</v>
      </c>
      <c r="K10" s="27" t="s">
        <v>92</v>
      </c>
      <c r="L10" s="27" t="s">
        <v>93</v>
      </c>
      <c r="M10" s="15" t="s">
        <v>94</v>
      </c>
      <c r="N10" s="15" t="s">
        <v>69</v>
      </c>
      <c r="O10" s="15" t="s">
        <v>70</v>
      </c>
      <c r="P10" s="15" t="s">
        <v>71</v>
      </c>
    </row>
    <row r="11" ht="33" customHeight="1" spans="1:16">
      <c r="A11" s="26">
        <v>6</v>
      </c>
      <c r="B11" s="27" t="s">
        <v>99</v>
      </c>
      <c r="C11" s="15" t="s">
        <v>28</v>
      </c>
      <c r="D11" s="15" t="s">
        <v>60</v>
      </c>
      <c r="E11" s="15" t="s">
        <v>100</v>
      </c>
      <c r="F11" s="15" t="s">
        <v>62</v>
      </c>
      <c r="G11" s="15" t="s">
        <v>101</v>
      </c>
      <c r="H11" s="15" t="s">
        <v>102</v>
      </c>
      <c r="I11" s="27" t="s">
        <v>65</v>
      </c>
      <c r="J11" s="27" t="s">
        <v>29</v>
      </c>
      <c r="K11" s="27" t="s">
        <v>92</v>
      </c>
      <c r="L11" s="27" t="s">
        <v>93</v>
      </c>
      <c r="M11" s="15" t="s">
        <v>94</v>
      </c>
      <c r="N11" s="15" t="s">
        <v>69</v>
      </c>
      <c r="O11" s="15" t="s">
        <v>70</v>
      </c>
      <c r="P11" s="15" t="s">
        <v>71</v>
      </c>
    </row>
    <row r="12" ht="33" customHeight="1" spans="1:16">
      <c r="A12" s="26">
        <v>7</v>
      </c>
      <c r="B12" s="27" t="s">
        <v>103</v>
      </c>
      <c r="C12" s="15" t="s">
        <v>28</v>
      </c>
      <c r="D12" s="15" t="s">
        <v>60</v>
      </c>
      <c r="E12" s="15" t="s">
        <v>104</v>
      </c>
      <c r="F12" s="15" t="s">
        <v>62</v>
      </c>
      <c r="G12" s="15" t="s">
        <v>105</v>
      </c>
      <c r="H12" s="15" t="s">
        <v>106</v>
      </c>
      <c r="I12" s="27" t="s">
        <v>65</v>
      </c>
      <c r="J12" s="27" t="s">
        <v>29</v>
      </c>
      <c r="K12" s="27" t="s">
        <v>66</v>
      </c>
      <c r="L12" s="27" t="s">
        <v>67</v>
      </c>
      <c r="M12" s="15" t="s">
        <v>68</v>
      </c>
      <c r="N12" s="15" t="s">
        <v>69</v>
      </c>
      <c r="O12" s="15" t="s">
        <v>70</v>
      </c>
      <c r="P12" s="15" t="s">
        <v>71</v>
      </c>
    </row>
    <row r="13" ht="33" customHeight="1" spans="1:16">
      <c r="A13" s="26">
        <v>8</v>
      </c>
      <c r="B13" s="27" t="s">
        <v>107</v>
      </c>
      <c r="C13" s="15" t="s">
        <v>28</v>
      </c>
      <c r="D13" s="15" t="s">
        <v>60</v>
      </c>
      <c r="E13" s="15" t="s">
        <v>108</v>
      </c>
      <c r="F13" s="15" t="s">
        <v>62</v>
      </c>
      <c r="G13" s="15" t="s">
        <v>109</v>
      </c>
      <c r="H13" s="15" t="s">
        <v>110</v>
      </c>
      <c r="I13" s="27" t="s">
        <v>65</v>
      </c>
      <c r="J13" s="27" t="s">
        <v>29</v>
      </c>
      <c r="K13" s="27" t="s">
        <v>92</v>
      </c>
      <c r="L13" s="27" t="s">
        <v>93</v>
      </c>
      <c r="M13" s="15" t="s">
        <v>94</v>
      </c>
      <c r="N13" s="15" t="s">
        <v>69</v>
      </c>
      <c r="O13" s="15" t="s">
        <v>70</v>
      </c>
      <c r="P13" s="15" t="s">
        <v>71</v>
      </c>
    </row>
    <row r="14" ht="33" customHeight="1" spans="1:16">
      <c r="A14" s="26">
        <v>9</v>
      </c>
      <c r="B14" s="27" t="s">
        <v>111</v>
      </c>
      <c r="C14" s="15" t="s">
        <v>28</v>
      </c>
      <c r="D14" s="15" t="s">
        <v>112</v>
      </c>
      <c r="E14" s="15" t="s">
        <v>113</v>
      </c>
      <c r="F14" s="15" t="s">
        <v>114</v>
      </c>
      <c r="G14" s="15" t="s">
        <v>115</v>
      </c>
      <c r="H14" s="15" t="s">
        <v>116</v>
      </c>
      <c r="I14" s="27" t="s">
        <v>117</v>
      </c>
      <c r="J14" s="27" t="s">
        <v>33</v>
      </c>
      <c r="K14" s="27" t="s">
        <v>92</v>
      </c>
      <c r="L14" s="27" t="s">
        <v>118</v>
      </c>
      <c r="M14" s="15" t="s">
        <v>119</v>
      </c>
      <c r="N14" s="15" t="s">
        <v>69</v>
      </c>
      <c r="O14" s="15" t="s">
        <v>70</v>
      </c>
      <c r="P14" s="15" t="s">
        <v>71</v>
      </c>
    </row>
    <row r="15" ht="33" customHeight="1" spans="1:16">
      <c r="A15" s="26">
        <v>10</v>
      </c>
      <c r="B15" s="27" t="s">
        <v>120</v>
      </c>
      <c r="C15" s="15" t="s">
        <v>28</v>
      </c>
      <c r="D15" s="15" t="s">
        <v>112</v>
      </c>
      <c r="E15" s="15" t="s">
        <v>121</v>
      </c>
      <c r="F15" s="15" t="s">
        <v>114</v>
      </c>
      <c r="G15" s="15" t="s">
        <v>122</v>
      </c>
      <c r="H15" s="15" t="s">
        <v>123</v>
      </c>
      <c r="I15" s="27" t="s">
        <v>117</v>
      </c>
      <c r="J15" s="27" t="s">
        <v>33</v>
      </c>
      <c r="K15" s="27" t="s">
        <v>124</v>
      </c>
      <c r="L15" s="27" t="s">
        <v>125</v>
      </c>
      <c r="M15" s="15" t="s">
        <v>126</v>
      </c>
      <c r="N15" s="15" t="s">
        <v>69</v>
      </c>
      <c r="O15" s="15" t="s">
        <v>70</v>
      </c>
      <c r="P15" s="15" t="s">
        <v>71</v>
      </c>
    </row>
    <row r="16" ht="33" customHeight="1" spans="1:16">
      <c r="A16" s="26">
        <v>11</v>
      </c>
      <c r="B16" s="27" t="s">
        <v>127</v>
      </c>
      <c r="C16" s="15" t="s">
        <v>28</v>
      </c>
      <c r="D16" s="15" t="s">
        <v>112</v>
      </c>
      <c r="E16" s="15" t="s">
        <v>128</v>
      </c>
      <c r="F16" s="15" t="s">
        <v>129</v>
      </c>
      <c r="G16" s="15" t="s">
        <v>130</v>
      </c>
      <c r="H16" s="15" t="s">
        <v>131</v>
      </c>
      <c r="I16" s="27" t="s">
        <v>117</v>
      </c>
      <c r="J16" s="27" t="s">
        <v>29</v>
      </c>
      <c r="K16" s="27" t="s">
        <v>76</v>
      </c>
      <c r="L16" s="27" t="s">
        <v>77</v>
      </c>
      <c r="M16" s="15" t="s">
        <v>78</v>
      </c>
      <c r="N16" s="15" t="s">
        <v>69</v>
      </c>
      <c r="O16" s="15" t="s">
        <v>70</v>
      </c>
      <c r="P16" s="15" t="s">
        <v>71</v>
      </c>
    </row>
    <row r="17" ht="33" customHeight="1" spans="1:16">
      <c r="A17" s="26">
        <v>12</v>
      </c>
      <c r="B17" s="27" t="s">
        <v>132</v>
      </c>
      <c r="C17" s="15" t="s">
        <v>28</v>
      </c>
      <c r="D17" s="15" t="s">
        <v>112</v>
      </c>
      <c r="E17" s="15" t="s">
        <v>133</v>
      </c>
      <c r="F17" s="15" t="s">
        <v>129</v>
      </c>
      <c r="G17" s="15" t="s">
        <v>134</v>
      </c>
      <c r="H17" s="15" t="s">
        <v>135</v>
      </c>
      <c r="I17" s="27" t="s">
        <v>117</v>
      </c>
      <c r="J17" s="27" t="s">
        <v>29</v>
      </c>
      <c r="K17" s="27" t="s">
        <v>136</v>
      </c>
      <c r="L17" s="27" t="s">
        <v>137</v>
      </c>
      <c r="M17" s="15" t="s">
        <v>85</v>
      </c>
      <c r="N17" s="15" t="s">
        <v>69</v>
      </c>
      <c r="O17" s="15" t="s">
        <v>70</v>
      </c>
      <c r="P17" s="15" t="s">
        <v>71</v>
      </c>
    </row>
    <row r="18" ht="33" customHeight="1" spans="1:16">
      <c r="A18" s="26">
        <v>13</v>
      </c>
      <c r="B18" s="27" t="s">
        <v>138</v>
      </c>
      <c r="C18" s="15" t="s">
        <v>28</v>
      </c>
      <c r="D18" s="15" t="s">
        <v>112</v>
      </c>
      <c r="E18" s="15" t="s">
        <v>139</v>
      </c>
      <c r="F18" s="15" t="s">
        <v>114</v>
      </c>
      <c r="G18" s="15" t="s">
        <v>140</v>
      </c>
      <c r="H18" s="15" t="s">
        <v>141</v>
      </c>
      <c r="I18" s="27" t="s">
        <v>117</v>
      </c>
      <c r="J18" s="27" t="s">
        <v>33</v>
      </c>
      <c r="K18" s="27" t="s">
        <v>136</v>
      </c>
      <c r="L18" s="27" t="s">
        <v>142</v>
      </c>
      <c r="M18" s="15" t="s">
        <v>143</v>
      </c>
      <c r="N18" s="15" t="s">
        <v>69</v>
      </c>
      <c r="O18" s="15" t="s">
        <v>70</v>
      </c>
      <c r="P18" s="15" t="s">
        <v>71</v>
      </c>
    </row>
    <row r="19" ht="33" customHeight="1" spans="1:16">
      <c r="A19" s="26">
        <v>14</v>
      </c>
      <c r="B19" s="27" t="s">
        <v>144</v>
      </c>
      <c r="C19" s="15" t="s">
        <v>28</v>
      </c>
      <c r="D19" s="15" t="s">
        <v>112</v>
      </c>
      <c r="E19" s="15" t="s">
        <v>145</v>
      </c>
      <c r="F19" s="15" t="s">
        <v>114</v>
      </c>
      <c r="G19" s="15" t="s">
        <v>146</v>
      </c>
      <c r="H19" s="15" t="s">
        <v>147</v>
      </c>
      <c r="I19" s="27" t="s">
        <v>117</v>
      </c>
      <c r="J19" s="27" t="s">
        <v>33</v>
      </c>
      <c r="K19" s="27" t="s">
        <v>124</v>
      </c>
      <c r="L19" s="27" t="s">
        <v>125</v>
      </c>
      <c r="M19" s="15" t="s">
        <v>126</v>
      </c>
      <c r="N19" s="15" t="s">
        <v>69</v>
      </c>
      <c r="O19" s="15" t="s">
        <v>70</v>
      </c>
      <c r="P19" s="15" t="s">
        <v>71</v>
      </c>
    </row>
    <row r="20" ht="33" customHeight="1" spans="1:16">
      <c r="A20" s="26">
        <v>15</v>
      </c>
      <c r="B20" s="27" t="s">
        <v>148</v>
      </c>
      <c r="C20" s="15" t="s">
        <v>28</v>
      </c>
      <c r="D20" s="15" t="s">
        <v>112</v>
      </c>
      <c r="E20" s="15" t="s">
        <v>149</v>
      </c>
      <c r="F20" s="15" t="s">
        <v>114</v>
      </c>
      <c r="G20" s="15" t="s">
        <v>150</v>
      </c>
      <c r="H20" s="15" t="s">
        <v>151</v>
      </c>
      <c r="I20" s="27" t="s">
        <v>117</v>
      </c>
      <c r="J20" s="27" t="s">
        <v>33</v>
      </c>
      <c r="K20" s="27" t="s">
        <v>66</v>
      </c>
      <c r="L20" s="27" t="s">
        <v>152</v>
      </c>
      <c r="M20" s="15" t="s">
        <v>153</v>
      </c>
      <c r="N20" s="15" t="s">
        <v>69</v>
      </c>
      <c r="O20" s="15" t="s">
        <v>70</v>
      </c>
      <c r="P20" s="15" t="s">
        <v>71</v>
      </c>
    </row>
    <row r="21" ht="33" customHeight="1" spans="1:16">
      <c r="A21" s="26">
        <v>16</v>
      </c>
      <c r="B21" s="27" t="s">
        <v>154</v>
      </c>
      <c r="C21" s="15" t="s">
        <v>28</v>
      </c>
      <c r="D21" s="15" t="s">
        <v>112</v>
      </c>
      <c r="E21" s="15" t="s">
        <v>155</v>
      </c>
      <c r="F21" s="15" t="s">
        <v>129</v>
      </c>
      <c r="G21" s="15" t="s">
        <v>156</v>
      </c>
      <c r="H21" s="15" t="s">
        <v>157</v>
      </c>
      <c r="I21" s="27" t="s">
        <v>117</v>
      </c>
      <c r="J21" s="27" t="s">
        <v>29</v>
      </c>
      <c r="K21" s="27" t="s">
        <v>76</v>
      </c>
      <c r="L21" s="27" t="s">
        <v>77</v>
      </c>
      <c r="M21" s="15" t="s">
        <v>78</v>
      </c>
      <c r="N21" s="15" t="s">
        <v>69</v>
      </c>
      <c r="O21" s="15" t="s">
        <v>70</v>
      </c>
      <c r="P21" s="15" t="s">
        <v>71</v>
      </c>
    </row>
    <row r="22" ht="33" customHeight="1" spans="1:16">
      <c r="A22" s="26">
        <v>17</v>
      </c>
      <c r="B22" s="27" t="s">
        <v>158</v>
      </c>
      <c r="C22" s="15" t="s">
        <v>28</v>
      </c>
      <c r="D22" s="15" t="s">
        <v>112</v>
      </c>
      <c r="E22" s="15" t="s">
        <v>159</v>
      </c>
      <c r="F22" s="15" t="s">
        <v>114</v>
      </c>
      <c r="G22" s="15" t="s">
        <v>160</v>
      </c>
      <c r="H22" s="15" t="s">
        <v>161</v>
      </c>
      <c r="I22" s="27" t="s">
        <v>117</v>
      </c>
      <c r="J22" s="27" t="s">
        <v>33</v>
      </c>
      <c r="K22" s="27" t="s">
        <v>66</v>
      </c>
      <c r="L22" s="27" t="s">
        <v>152</v>
      </c>
      <c r="M22" s="15" t="s">
        <v>153</v>
      </c>
      <c r="N22" s="15" t="s">
        <v>69</v>
      </c>
      <c r="O22" s="15" t="s">
        <v>70</v>
      </c>
      <c r="P22" s="15" t="s">
        <v>71</v>
      </c>
    </row>
    <row r="23" spans="1:16" s="21" customFormat="1" ht="33" customHeight="1">
      <c r="A23" s="28">
        <v>18</v>
      </c>
      <c r="B23" s="29" t="s">
        <v>162</v>
      </c>
      <c r="C23" s="30" t="s">
        <v>28</v>
      </c>
      <c r="D23" s="30" t="s">
        <v>112</v>
      </c>
      <c r="E23" s="30" t="s">
        <v>163</v>
      </c>
      <c r="F23" s="30" t="s">
        <v>114</v>
      </c>
      <c r="G23" s="30" t="s">
        <v>164</v>
      </c>
      <c r="H23" s="30" t="s">
        <v>165</v>
      </c>
      <c r="I23" s="29" t="s">
        <v>117</v>
      </c>
      <c r="J23" s="29" t="s">
        <v>33</v>
      </c>
      <c r="K23" s="29" t="s">
        <v>640</v>
      </c>
      <c r="L23" s="29" t="s">
        <v>142</v>
      </c>
      <c r="M23" s="30" t="s">
        <v>642</v>
      </c>
      <c r="N23" s="30" t="s">
        <v>69</v>
      </c>
      <c r="O23" s="30" t="s">
        <v>70</v>
      </c>
      <c r="P23" s="30" t="s">
        <v>71</v>
      </c>
    </row>
    <row r="24" spans="1:16" ht="33" customHeight="1">
      <c r="A24" s="26">
        <v>19</v>
      </c>
      <c r="B24" s="27" t="s">
        <v>166</v>
      </c>
      <c r="C24" s="15" t="s">
        <v>28</v>
      </c>
      <c r="D24" s="15" t="s">
        <v>112</v>
      </c>
      <c r="E24" s="15" t="s">
        <v>167</v>
      </c>
      <c r="F24" s="15" t="s">
        <v>62</v>
      </c>
      <c r="G24" s="15" t="s">
        <v>168</v>
      </c>
      <c r="H24" s="15" t="s">
        <v>169</v>
      </c>
      <c r="I24" s="27" t="s">
        <v>65</v>
      </c>
      <c r="J24" s="27" t="s">
        <v>29</v>
      </c>
      <c r="K24" s="27" t="s">
        <v>641</v>
      </c>
      <c r="L24" s="27" t="s">
        <v>77</v>
      </c>
      <c r="M24" s="15" t="s">
        <v>643</v>
      </c>
      <c r="N24" s="15" t="s">
        <v>69</v>
      </c>
      <c r="O24" s="15" t="s">
        <v>70</v>
      </c>
      <c r="P24" s="15" t="s">
        <v>71</v>
      </c>
    </row>
    <row r="25" ht="33" customHeight="1" spans="1:16">
      <c r="A25" s="26">
        <v>20</v>
      </c>
      <c r="B25" s="27" t="s">
        <v>170</v>
      </c>
      <c r="C25" s="15" t="s">
        <v>28</v>
      </c>
      <c r="D25" s="15" t="s">
        <v>112</v>
      </c>
      <c r="E25" s="15" t="s">
        <v>171</v>
      </c>
      <c r="F25" s="15" t="s">
        <v>62</v>
      </c>
      <c r="G25" s="15" t="s">
        <v>172</v>
      </c>
      <c r="H25" s="15" t="s">
        <v>173</v>
      </c>
      <c r="I25" s="27" t="s">
        <v>65</v>
      </c>
      <c r="J25" s="27" t="s">
        <v>29</v>
      </c>
      <c r="K25" s="27" t="s">
        <v>136</v>
      </c>
      <c r="L25" s="27" t="s">
        <v>137</v>
      </c>
      <c r="M25" s="15" t="s">
        <v>85</v>
      </c>
      <c r="N25" s="15" t="s">
        <v>69</v>
      </c>
      <c r="O25" s="15" t="s">
        <v>70</v>
      </c>
      <c r="P25" s="15" t="s">
        <v>71</v>
      </c>
    </row>
    <row r="26" ht="33" customHeight="1" spans="1:16">
      <c r="A26" s="26">
        <v>21</v>
      </c>
      <c r="B26" s="27" t="s">
        <v>174</v>
      </c>
      <c r="C26" s="15" t="s">
        <v>28</v>
      </c>
      <c r="D26" s="15" t="s">
        <v>175</v>
      </c>
      <c r="E26" s="15" t="s">
        <v>176</v>
      </c>
      <c r="F26" s="15" t="s">
        <v>129</v>
      </c>
      <c r="G26" s="15" t="s">
        <v>177</v>
      </c>
      <c r="H26" s="15" t="s">
        <v>178</v>
      </c>
      <c r="I26" s="27" t="s">
        <v>65</v>
      </c>
      <c r="J26" s="27" t="s">
        <v>29</v>
      </c>
      <c r="K26" s="27" t="s">
        <v>179</v>
      </c>
      <c r="L26" s="27" t="s">
        <v>180</v>
      </c>
      <c r="M26" s="15" t="s">
        <v>181</v>
      </c>
      <c r="N26" s="15" t="s">
        <v>69</v>
      </c>
      <c r="O26" s="15" t="s">
        <v>70</v>
      </c>
      <c r="P26" s="15" t="s">
        <v>71</v>
      </c>
    </row>
    <row r="27" ht="33" customHeight="1" spans="1:16">
      <c r="A27" s="26">
        <v>22</v>
      </c>
      <c r="B27" s="27" t="s">
        <v>182</v>
      </c>
      <c r="C27" s="15" t="s">
        <v>28</v>
      </c>
      <c r="D27" s="15" t="s">
        <v>175</v>
      </c>
      <c r="E27" s="15" t="s">
        <v>183</v>
      </c>
      <c r="F27" s="15" t="s">
        <v>129</v>
      </c>
      <c r="G27" s="15" t="s">
        <v>184</v>
      </c>
      <c r="H27" s="15" t="s">
        <v>185</v>
      </c>
      <c r="I27" s="27" t="s">
        <v>65</v>
      </c>
      <c r="J27" s="27" t="s">
        <v>29</v>
      </c>
      <c r="K27" s="27" t="s">
        <v>179</v>
      </c>
      <c r="L27" s="27" t="s">
        <v>180</v>
      </c>
      <c r="M27" s="15" t="s">
        <v>181</v>
      </c>
      <c r="N27" s="15" t="s">
        <v>69</v>
      </c>
      <c r="O27" s="15" t="s">
        <v>70</v>
      </c>
      <c r="P27" s="15" t="s">
        <v>71</v>
      </c>
    </row>
    <row r="28" ht="33" customHeight="1" spans="1:16">
      <c r="A28" s="26">
        <v>23</v>
      </c>
      <c r="B28" s="27" t="s">
        <v>186</v>
      </c>
      <c r="C28" s="15" t="s">
        <v>28</v>
      </c>
      <c r="D28" s="15" t="s">
        <v>175</v>
      </c>
      <c r="E28" s="15" t="s">
        <v>187</v>
      </c>
      <c r="F28" s="15" t="s">
        <v>129</v>
      </c>
      <c r="G28" s="15" t="s">
        <v>188</v>
      </c>
      <c r="H28" s="15" t="s">
        <v>189</v>
      </c>
      <c r="I28" s="27" t="s">
        <v>65</v>
      </c>
      <c r="J28" s="27" t="s">
        <v>29</v>
      </c>
      <c r="K28" s="27" t="s">
        <v>179</v>
      </c>
      <c r="L28" s="27" t="s">
        <v>180</v>
      </c>
      <c r="M28" s="15" t="s">
        <v>181</v>
      </c>
      <c r="N28" s="15" t="s">
        <v>69</v>
      </c>
      <c r="O28" s="15" t="s">
        <v>70</v>
      </c>
      <c r="P28" s="15" t="s">
        <v>71</v>
      </c>
    </row>
    <row r="29" ht="33" customHeight="1" spans="1:16">
      <c r="A29" s="26">
        <v>24</v>
      </c>
      <c r="B29" s="27" t="s">
        <v>190</v>
      </c>
      <c r="C29" s="15" t="s">
        <v>28</v>
      </c>
      <c r="D29" s="15" t="s">
        <v>175</v>
      </c>
      <c r="E29" s="15" t="s">
        <v>191</v>
      </c>
      <c r="F29" s="15" t="s">
        <v>129</v>
      </c>
      <c r="G29" s="15" t="s">
        <v>192</v>
      </c>
      <c r="H29" s="15" t="s">
        <v>193</v>
      </c>
      <c r="I29" s="27" t="s">
        <v>117</v>
      </c>
      <c r="J29" s="27" t="s">
        <v>29</v>
      </c>
      <c r="K29" s="27" t="s">
        <v>66</v>
      </c>
      <c r="L29" s="27" t="s">
        <v>67</v>
      </c>
      <c r="M29" s="15" t="s">
        <v>68</v>
      </c>
      <c r="N29" s="15" t="s">
        <v>69</v>
      </c>
      <c r="O29" s="15" t="s">
        <v>70</v>
      </c>
      <c r="P29" s="15" t="s">
        <v>71</v>
      </c>
    </row>
    <row r="30" spans="1:16" ht="33" customHeight="1">
      <c r="A30" s="26">
        <v>25</v>
      </c>
      <c r="B30" s="27" t="s">
        <v>194</v>
      </c>
      <c r="C30" s="15" t="s">
        <v>28</v>
      </c>
      <c r="D30" s="15" t="s">
        <v>175</v>
      </c>
      <c r="E30" s="15" t="s">
        <v>195</v>
      </c>
      <c r="F30" s="15" t="s">
        <v>62</v>
      </c>
      <c r="G30" s="15" t="s">
        <v>616</v>
      </c>
      <c r="H30" s="15" t="s">
        <v>197</v>
      </c>
      <c r="I30" s="27" t="s">
        <v>65</v>
      </c>
      <c r="J30" s="27" t="s">
        <v>29</v>
      </c>
      <c r="K30" s="27" t="s">
        <v>76</v>
      </c>
      <c r="L30" s="27" t="s">
        <v>77</v>
      </c>
      <c r="M30" s="15" t="s">
        <v>78</v>
      </c>
      <c r="N30" s="15" t="s">
        <v>69</v>
      </c>
      <c r="O30" s="15" t="s">
        <v>70</v>
      </c>
      <c r="P30" s="15" t="s">
        <v>71</v>
      </c>
    </row>
    <row r="31" ht="33" customHeight="1" spans="1:16">
      <c r="A31" s="26">
        <v>26</v>
      </c>
      <c r="B31" s="27" t="s">
        <v>198</v>
      </c>
      <c r="C31" s="15" t="s">
        <v>30</v>
      </c>
      <c r="D31" s="15" t="s">
        <v>199</v>
      </c>
      <c r="E31" s="15" t="s">
        <v>200</v>
      </c>
      <c r="F31" s="15" t="s">
        <v>201</v>
      </c>
      <c r="G31" s="15" t="s">
        <v>202</v>
      </c>
      <c r="H31" s="15" t="s">
        <v>203</v>
      </c>
      <c r="I31" s="27" t="s">
        <v>65</v>
      </c>
      <c r="J31" s="27" t="s">
        <v>31</v>
      </c>
      <c r="K31" s="27" t="s">
        <v>92</v>
      </c>
      <c r="L31" s="27" t="s">
        <v>204</v>
      </c>
      <c r="M31" s="15" t="s">
        <v>205</v>
      </c>
      <c r="N31" s="15" t="s">
        <v>69</v>
      </c>
      <c r="O31" s="15" t="s">
        <v>70</v>
      </c>
      <c r="P31" s="15" t="s">
        <v>71</v>
      </c>
    </row>
    <row r="32" ht="33" customHeight="1" spans="1:16">
      <c r="A32" s="26">
        <v>27</v>
      </c>
      <c r="B32" s="27" t="s">
        <v>206</v>
      </c>
      <c r="C32" s="15" t="s">
        <v>30</v>
      </c>
      <c r="D32" s="15" t="s">
        <v>199</v>
      </c>
      <c r="E32" s="15" t="s">
        <v>207</v>
      </c>
      <c r="F32" s="15" t="s">
        <v>208</v>
      </c>
      <c r="G32" s="15" t="s">
        <v>209</v>
      </c>
      <c r="H32" s="15" t="s">
        <v>210</v>
      </c>
      <c r="I32" s="27" t="s">
        <v>65</v>
      </c>
      <c r="J32" s="27" t="s">
        <v>35</v>
      </c>
      <c r="K32" s="27" t="s">
        <v>136</v>
      </c>
      <c r="L32" s="27" t="s">
        <v>211</v>
      </c>
      <c r="M32" s="15" t="s">
        <v>212</v>
      </c>
      <c r="N32" s="15" t="s">
        <v>69</v>
      </c>
      <c r="O32" s="15" t="s">
        <v>70</v>
      </c>
      <c r="P32" s="15" t="s">
        <v>71</v>
      </c>
    </row>
    <row r="33" ht="33" customHeight="1" spans="1:16">
      <c r="A33" s="26">
        <v>28</v>
      </c>
      <c r="B33" s="27" t="s">
        <v>213</v>
      </c>
      <c r="C33" s="15" t="s">
        <v>30</v>
      </c>
      <c r="D33" s="15" t="s">
        <v>199</v>
      </c>
      <c r="E33" s="15" t="s">
        <v>214</v>
      </c>
      <c r="F33" s="15" t="s">
        <v>208</v>
      </c>
      <c r="G33" s="15" t="s">
        <v>215</v>
      </c>
      <c r="H33" s="15" t="s">
        <v>216</v>
      </c>
      <c r="I33" s="27" t="s">
        <v>65</v>
      </c>
      <c r="J33" s="27" t="s">
        <v>35</v>
      </c>
      <c r="K33" s="27" t="s">
        <v>83</v>
      </c>
      <c r="L33" s="27" t="s">
        <v>217</v>
      </c>
      <c r="M33" s="15" t="s">
        <v>218</v>
      </c>
      <c r="N33" s="15" t="s">
        <v>86</v>
      </c>
      <c r="O33" s="15" t="s">
        <v>219</v>
      </c>
      <c r="P33" s="15" t="s">
        <v>71</v>
      </c>
    </row>
    <row r="34" ht="33" customHeight="1" spans="1:16">
      <c r="A34" s="26">
        <v>29</v>
      </c>
      <c r="B34" s="27" t="s">
        <v>220</v>
      </c>
      <c r="C34" s="15" t="s">
        <v>30</v>
      </c>
      <c r="D34" s="15" t="s">
        <v>199</v>
      </c>
      <c r="E34" s="15" t="s">
        <v>221</v>
      </c>
      <c r="F34" s="15" t="s">
        <v>201</v>
      </c>
      <c r="G34" s="15" t="s">
        <v>222</v>
      </c>
      <c r="H34" s="15" t="s">
        <v>223</v>
      </c>
      <c r="I34" s="27" t="s">
        <v>65</v>
      </c>
      <c r="J34" s="27" t="s">
        <v>31</v>
      </c>
      <c r="K34" s="27" t="s">
        <v>76</v>
      </c>
      <c r="L34" s="27" t="s">
        <v>224</v>
      </c>
      <c r="M34" s="15" t="s">
        <v>225</v>
      </c>
      <c r="N34" s="15" t="s">
        <v>69</v>
      </c>
      <c r="O34" s="15" t="s">
        <v>70</v>
      </c>
      <c r="P34" s="15" t="s">
        <v>71</v>
      </c>
    </row>
    <row r="35" ht="33" customHeight="1" spans="1:16">
      <c r="A35" s="26">
        <v>30</v>
      </c>
      <c r="B35" s="27" t="s">
        <v>226</v>
      </c>
      <c r="C35" s="15" t="s">
        <v>30</v>
      </c>
      <c r="D35" s="15" t="s">
        <v>199</v>
      </c>
      <c r="E35" s="15" t="s">
        <v>227</v>
      </c>
      <c r="F35" s="15" t="s">
        <v>201</v>
      </c>
      <c r="G35" s="15" t="s">
        <v>228</v>
      </c>
      <c r="H35" s="15" t="s">
        <v>229</v>
      </c>
      <c r="I35" s="27" t="s">
        <v>65</v>
      </c>
      <c r="J35" s="27" t="s">
        <v>31</v>
      </c>
      <c r="K35" s="27" t="s">
        <v>136</v>
      </c>
      <c r="L35" s="27" t="s">
        <v>230</v>
      </c>
      <c r="M35" s="15" t="s">
        <v>231</v>
      </c>
      <c r="N35" s="15" t="s">
        <v>69</v>
      </c>
      <c r="O35" s="15" t="s">
        <v>70</v>
      </c>
      <c r="P35" s="15" t="s">
        <v>71</v>
      </c>
    </row>
    <row r="36" ht="33" customHeight="1" spans="1:16">
      <c r="A36" s="26">
        <v>31</v>
      </c>
      <c r="B36" s="27" t="s">
        <v>232</v>
      </c>
      <c r="C36" s="15" t="s">
        <v>30</v>
      </c>
      <c r="D36" s="15" t="s">
        <v>199</v>
      </c>
      <c r="E36" s="15" t="s">
        <v>233</v>
      </c>
      <c r="F36" s="15" t="s">
        <v>201</v>
      </c>
      <c r="G36" s="15" t="s">
        <v>234</v>
      </c>
      <c r="H36" s="15" t="s">
        <v>235</v>
      </c>
      <c r="I36" s="27" t="s">
        <v>65</v>
      </c>
      <c r="J36" s="27" t="s">
        <v>31</v>
      </c>
      <c r="K36" s="27" t="s">
        <v>76</v>
      </c>
      <c r="L36" s="27" t="s">
        <v>224</v>
      </c>
      <c r="M36" s="15" t="s">
        <v>225</v>
      </c>
      <c r="N36" s="15" t="s">
        <v>69</v>
      </c>
      <c r="O36" s="15" t="s">
        <v>70</v>
      </c>
      <c r="P36" s="15" t="s">
        <v>71</v>
      </c>
    </row>
    <row r="37" ht="33" customHeight="1" spans="1:16">
      <c r="A37" s="26">
        <v>32</v>
      </c>
      <c r="B37" s="27" t="s">
        <v>236</v>
      </c>
      <c r="C37" s="15" t="s">
        <v>30</v>
      </c>
      <c r="D37" s="15" t="s">
        <v>199</v>
      </c>
      <c r="E37" s="15" t="s">
        <v>237</v>
      </c>
      <c r="F37" s="15" t="s">
        <v>208</v>
      </c>
      <c r="G37" s="15" t="s">
        <v>238</v>
      </c>
      <c r="H37" s="15" t="s">
        <v>239</v>
      </c>
      <c r="I37" s="27" t="s">
        <v>65</v>
      </c>
      <c r="J37" s="27" t="s">
        <v>35</v>
      </c>
      <c r="K37" s="27" t="s">
        <v>92</v>
      </c>
      <c r="L37" s="27" t="s">
        <v>240</v>
      </c>
      <c r="M37" s="15" t="s">
        <v>241</v>
      </c>
      <c r="N37" s="15" t="s">
        <v>69</v>
      </c>
      <c r="O37" s="15" t="s">
        <v>70</v>
      </c>
      <c r="P37" s="15" t="s">
        <v>71</v>
      </c>
    </row>
    <row r="38" spans="1:16" s="21" customFormat="1" ht="33" customHeight="1">
      <c r="A38" s="28">
        <v>33</v>
      </c>
      <c r="B38" s="29" t="s">
        <v>242</v>
      </c>
      <c r="C38" s="30" t="s">
        <v>30</v>
      </c>
      <c r="D38" s="30" t="s">
        <v>199</v>
      </c>
      <c r="E38" s="30" t="s">
        <v>243</v>
      </c>
      <c r="F38" s="30" t="s">
        <v>201</v>
      </c>
      <c r="G38" s="30" t="s">
        <v>244</v>
      </c>
      <c r="H38" s="30" t="s">
        <v>245</v>
      </c>
      <c r="I38" s="29" t="s">
        <v>65</v>
      </c>
      <c r="J38" s="29" t="s">
        <v>31</v>
      </c>
      <c r="K38" s="29" t="s">
        <v>635</v>
      </c>
      <c r="L38" s="29" t="s">
        <v>230</v>
      </c>
      <c r="M38" s="30" t="s">
        <v>644</v>
      </c>
      <c r="N38" s="30" t="s">
        <v>69</v>
      </c>
      <c r="O38" s="30" t="s">
        <v>70</v>
      </c>
      <c r="P38" s="30" t="s">
        <v>645</v>
      </c>
    </row>
    <row r="39" spans="1:16" ht="33" customHeight="1">
      <c r="A39" s="26">
        <v>34</v>
      </c>
      <c r="B39" s="27" t="s">
        <v>247</v>
      </c>
      <c r="C39" s="15" t="s">
        <v>30</v>
      </c>
      <c r="D39" s="15" t="s">
        <v>199</v>
      </c>
      <c r="E39" s="15" t="s">
        <v>248</v>
      </c>
      <c r="F39" s="15" t="s">
        <v>208</v>
      </c>
      <c r="G39" s="15" t="s">
        <v>249</v>
      </c>
      <c r="H39" s="15" t="s">
        <v>250</v>
      </c>
      <c r="I39" s="27" t="s">
        <v>65</v>
      </c>
      <c r="J39" s="27" t="s">
        <v>35</v>
      </c>
      <c r="K39" s="27" t="s">
        <v>636</v>
      </c>
      <c r="L39" s="27" t="s">
        <v>211</v>
      </c>
      <c r="M39" s="15" t="s">
        <v>212</v>
      </c>
      <c r="N39" s="15" t="s">
        <v>69</v>
      </c>
      <c r="O39" s="15" t="s">
        <v>70</v>
      </c>
      <c r="P39" s="15" t="s">
        <v>71</v>
      </c>
    </row>
    <row r="40" spans="1:16" ht="33" customHeight="1">
      <c r="A40" s="26">
        <v>35</v>
      </c>
      <c r="B40" s="27" t="s">
        <v>251</v>
      </c>
      <c r="C40" s="15" t="s">
        <v>30</v>
      </c>
      <c r="D40" s="15" t="s">
        <v>252</v>
      </c>
      <c r="E40" s="15" t="s">
        <v>253</v>
      </c>
      <c r="F40" s="15" t="s">
        <v>208</v>
      </c>
      <c r="G40" s="15" t="s">
        <v>622</v>
      </c>
      <c r="H40" s="15" t="s">
        <v>255</v>
      </c>
      <c r="I40" s="27" t="s">
        <v>65</v>
      </c>
      <c r="J40" s="27" t="s">
        <v>35</v>
      </c>
      <c r="K40" s="27" t="s">
        <v>83</v>
      </c>
      <c r="L40" s="27" t="s">
        <v>217</v>
      </c>
      <c r="M40" s="15" t="s">
        <v>218</v>
      </c>
      <c r="N40" s="15" t="s">
        <v>86</v>
      </c>
      <c r="O40" s="15" t="s">
        <v>219</v>
      </c>
      <c r="P40" s="15" t="s">
        <v>71</v>
      </c>
    </row>
    <row r="41" spans="1:16" s="21" customFormat="1" ht="33" customHeight="1">
      <c r="A41" s="28">
        <v>36</v>
      </c>
      <c r="B41" s="29" t="s">
        <v>256</v>
      </c>
      <c r="C41" s="30" t="s">
        <v>30</v>
      </c>
      <c r="D41" s="30" t="s">
        <v>252</v>
      </c>
      <c r="E41" s="30" t="s">
        <v>257</v>
      </c>
      <c r="F41" s="30" t="s">
        <v>201</v>
      </c>
      <c r="G41" s="30" t="s">
        <v>258</v>
      </c>
      <c r="H41" s="30" t="s">
        <v>259</v>
      </c>
      <c r="I41" s="29" t="s">
        <v>65</v>
      </c>
      <c r="J41" s="29" t="s">
        <v>31</v>
      </c>
      <c r="K41" s="29" t="s">
        <v>626</v>
      </c>
      <c r="L41" s="29" t="s">
        <v>230</v>
      </c>
      <c r="M41" s="30" t="s">
        <v>644</v>
      </c>
      <c r="N41" s="30" t="s">
        <v>69</v>
      </c>
      <c r="O41" s="30" t="s">
        <v>70</v>
      </c>
      <c r="P41" s="30" t="s">
        <v>646</v>
      </c>
    </row>
    <row r="42" spans="1:16" ht="33" customHeight="1">
      <c r="A42" s="26">
        <v>37</v>
      </c>
      <c r="B42" s="27" t="s">
        <v>260</v>
      </c>
      <c r="C42" s="15" t="s">
        <v>30</v>
      </c>
      <c r="D42" s="15" t="s">
        <v>252</v>
      </c>
      <c r="E42" s="15" t="s">
        <v>261</v>
      </c>
      <c r="F42" s="15" t="s">
        <v>208</v>
      </c>
      <c r="G42" s="15" t="s">
        <v>262</v>
      </c>
      <c r="H42" s="15" t="s">
        <v>263</v>
      </c>
      <c r="I42" s="27" t="s">
        <v>65</v>
      </c>
      <c r="J42" s="27" t="s">
        <v>35</v>
      </c>
      <c r="K42" s="27" t="s">
        <v>627</v>
      </c>
      <c r="L42" s="27" t="s">
        <v>264</v>
      </c>
      <c r="M42" s="15" t="s">
        <v>241</v>
      </c>
      <c r="N42" s="15" t="s">
        <v>69</v>
      </c>
      <c r="O42" s="15" t="s">
        <v>70</v>
      </c>
      <c r="P42" s="15" t="s">
        <v>71</v>
      </c>
    </row>
    <row r="43" ht="33" customHeight="1" spans="1:16">
      <c r="A43" s="26">
        <v>38</v>
      </c>
      <c r="B43" s="27" t="s">
        <v>265</v>
      </c>
      <c r="C43" s="15" t="s">
        <v>30</v>
      </c>
      <c r="D43" s="15" t="s">
        <v>252</v>
      </c>
      <c r="E43" s="15" t="s">
        <v>266</v>
      </c>
      <c r="F43" s="15" t="s">
        <v>208</v>
      </c>
      <c r="G43" s="15" t="s">
        <v>267</v>
      </c>
      <c r="H43" s="15" t="s">
        <v>268</v>
      </c>
      <c r="I43" s="27" t="s">
        <v>65</v>
      </c>
      <c r="J43" s="27" t="s">
        <v>35</v>
      </c>
      <c r="K43" s="27" t="s">
        <v>66</v>
      </c>
      <c r="L43" s="27" t="s">
        <v>269</v>
      </c>
      <c r="M43" s="15" t="s">
        <v>241</v>
      </c>
      <c r="N43" s="15" t="s">
        <v>86</v>
      </c>
      <c r="O43" s="15" t="s">
        <v>219</v>
      </c>
      <c r="P43" s="15" t="s">
        <v>71</v>
      </c>
    </row>
    <row r="44" ht="33" customHeight="1" spans="1:16">
      <c r="A44" s="26">
        <v>39</v>
      </c>
      <c r="B44" s="27" t="s">
        <v>270</v>
      </c>
      <c r="C44" s="15" t="s">
        <v>30</v>
      </c>
      <c r="D44" s="15" t="s">
        <v>252</v>
      </c>
      <c r="E44" s="15" t="s">
        <v>271</v>
      </c>
      <c r="F44" s="15" t="s">
        <v>201</v>
      </c>
      <c r="G44" s="15" t="s">
        <v>272</v>
      </c>
      <c r="H44" s="15" t="s">
        <v>273</v>
      </c>
      <c r="I44" s="27" t="s">
        <v>65</v>
      </c>
      <c r="J44" s="27" t="s">
        <v>31</v>
      </c>
      <c r="K44" s="27" t="s">
        <v>92</v>
      </c>
      <c r="L44" s="27" t="s">
        <v>204</v>
      </c>
      <c r="M44" s="15" t="s">
        <v>205</v>
      </c>
      <c r="N44" s="15" t="s">
        <v>69</v>
      </c>
      <c r="O44" s="15" t="s">
        <v>70</v>
      </c>
      <c r="P44" s="15" t="s">
        <v>71</v>
      </c>
    </row>
    <row r="45" ht="33" customHeight="1" spans="1:16">
      <c r="A45" s="26">
        <v>40</v>
      </c>
      <c r="B45" s="27" t="s">
        <v>274</v>
      </c>
      <c r="C45" s="15" t="s">
        <v>32</v>
      </c>
      <c r="D45" s="15" t="s">
        <v>275</v>
      </c>
      <c r="E45" s="15" t="s">
        <v>276</v>
      </c>
      <c r="F45" s="15" t="s">
        <v>114</v>
      </c>
      <c r="G45" s="15" t="s">
        <v>277</v>
      </c>
      <c r="H45" s="15" t="s">
        <v>278</v>
      </c>
      <c r="I45" s="27" t="s">
        <v>117</v>
      </c>
      <c r="J45" s="27" t="s">
        <v>33</v>
      </c>
      <c r="K45" s="27" t="s">
        <v>124</v>
      </c>
      <c r="L45" s="27" t="s">
        <v>125</v>
      </c>
      <c r="M45" s="15" t="s">
        <v>126</v>
      </c>
      <c r="N45" s="15" t="s">
        <v>69</v>
      </c>
      <c r="O45" s="15" t="s">
        <v>70</v>
      </c>
      <c r="P45" s="15" t="s">
        <v>71</v>
      </c>
    </row>
    <row r="46" ht="33" customHeight="1" spans="1:16">
      <c r="A46" s="26">
        <v>41</v>
      </c>
      <c r="B46" s="27" t="s">
        <v>279</v>
      </c>
      <c r="C46" s="15" t="s">
        <v>32</v>
      </c>
      <c r="D46" s="15" t="s">
        <v>275</v>
      </c>
      <c r="E46" s="15" t="s">
        <v>280</v>
      </c>
      <c r="F46" s="15" t="s">
        <v>129</v>
      </c>
      <c r="G46" s="15" t="s">
        <v>281</v>
      </c>
      <c r="H46" s="15" t="s">
        <v>282</v>
      </c>
      <c r="I46" s="27" t="s">
        <v>65</v>
      </c>
      <c r="J46" s="27" t="s">
        <v>29</v>
      </c>
      <c r="K46" s="27" t="s">
        <v>92</v>
      </c>
      <c r="L46" s="27" t="s">
        <v>93</v>
      </c>
      <c r="M46" s="15" t="s">
        <v>94</v>
      </c>
      <c r="N46" s="15" t="s">
        <v>69</v>
      </c>
      <c r="O46" s="15" t="s">
        <v>70</v>
      </c>
      <c r="P46" s="15" t="s">
        <v>71</v>
      </c>
    </row>
    <row r="47" ht="33" customHeight="1" spans="1:16">
      <c r="A47" s="26">
        <v>42</v>
      </c>
      <c r="B47" s="27" t="s">
        <v>283</v>
      </c>
      <c r="C47" s="15" t="s">
        <v>32</v>
      </c>
      <c r="D47" s="15" t="s">
        <v>275</v>
      </c>
      <c r="E47" s="15" t="s">
        <v>284</v>
      </c>
      <c r="F47" s="15" t="s">
        <v>114</v>
      </c>
      <c r="G47" s="15" t="s">
        <v>285</v>
      </c>
      <c r="H47" s="15" t="s">
        <v>286</v>
      </c>
      <c r="I47" s="27" t="s">
        <v>117</v>
      </c>
      <c r="J47" s="27" t="s">
        <v>33</v>
      </c>
      <c r="K47" s="27" t="s">
        <v>136</v>
      </c>
      <c r="L47" s="27" t="s">
        <v>142</v>
      </c>
      <c r="M47" s="15" t="s">
        <v>143</v>
      </c>
      <c r="N47" s="15" t="s">
        <v>69</v>
      </c>
      <c r="O47" s="15" t="s">
        <v>70</v>
      </c>
      <c r="P47" s="15" t="s">
        <v>71</v>
      </c>
    </row>
    <row r="48" ht="33" customHeight="1" spans="1:16">
      <c r="A48" s="26">
        <v>43</v>
      </c>
      <c r="B48" s="27" t="s">
        <v>287</v>
      </c>
      <c r="C48" s="15" t="s">
        <v>32</v>
      </c>
      <c r="D48" s="15" t="s">
        <v>275</v>
      </c>
      <c r="E48" s="15" t="s">
        <v>288</v>
      </c>
      <c r="F48" s="15" t="s">
        <v>129</v>
      </c>
      <c r="G48" s="15" t="s">
        <v>289</v>
      </c>
      <c r="H48" s="15" t="s">
        <v>290</v>
      </c>
      <c r="I48" s="27" t="s">
        <v>65</v>
      </c>
      <c r="J48" s="27" t="s">
        <v>29</v>
      </c>
      <c r="K48" s="27" t="s">
        <v>83</v>
      </c>
      <c r="L48" s="27" t="s">
        <v>84</v>
      </c>
      <c r="M48" s="15" t="s">
        <v>85</v>
      </c>
      <c r="N48" s="15" t="s">
        <v>86</v>
      </c>
      <c r="O48" s="15" t="s">
        <v>87</v>
      </c>
      <c r="P48" s="15" t="s">
        <v>71</v>
      </c>
    </row>
    <row r="49" ht="33" customHeight="1" spans="1:16">
      <c r="A49" s="26">
        <v>44</v>
      </c>
      <c r="B49" s="27" t="s">
        <v>291</v>
      </c>
      <c r="C49" s="15" t="s">
        <v>32</v>
      </c>
      <c r="D49" s="15" t="s">
        <v>275</v>
      </c>
      <c r="E49" s="15" t="s">
        <v>292</v>
      </c>
      <c r="F49" s="15" t="s">
        <v>114</v>
      </c>
      <c r="G49" s="15" t="s">
        <v>293</v>
      </c>
      <c r="H49" s="15" t="s">
        <v>294</v>
      </c>
      <c r="I49" s="27" t="s">
        <v>65</v>
      </c>
      <c r="J49" s="27" t="s">
        <v>33</v>
      </c>
      <c r="K49" s="27" t="s">
        <v>76</v>
      </c>
      <c r="L49" s="27" t="s">
        <v>295</v>
      </c>
      <c r="M49" s="15" t="s">
        <v>296</v>
      </c>
      <c r="N49" s="15" t="s">
        <v>69</v>
      </c>
      <c r="O49" s="15" t="s">
        <v>70</v>
      </c>
      <c r="P49" s="15" t="s">
        <v>71</v>
      </c>
    </row>
    <row r="50" ht="33" customHeight="1" spans="1:16">
      <c r="A50" s="26">
        <v>45</v>
      </c>
      <c r="B50" s="27" t="s">
        <v>297</v>
      </c>
      <c r="C50" s="15" t="s">
        <v>32</v>
      </c>
      <c r="D50" s="15" t="s">
        <v>298</v>
      </c>
      <c r="E50" s="15" t="s">
        <v>299</v>
      </c>
      <c r="F50" s="15" t="s">
        <v>114</v>
      </c>
      <c r="G50" s="15" t="s">
        <v>300</v>
      </c>
      <c r="H50" s="15" t="s">
        <v>301</v>
      </c>
      <c r="I50" s="27" t="s">
        <v>65</v>
      </c>
      <c r="J50" s="27" t="s">
        <v>33</v>
      </c>
      <c r="K50" s="27" t="s">
        <v>92</v>
      </c>
      <c r="L50" s="27" t="s">
        <v>118</v>
      </c>
      <c r="M50" s="15" t="s">
        <v>119</v>
      </c>
      <c r="N50" s="15" t="s">
        <v>69</v>
      </c>
      <c r="O50" s="15" t="s">
        <v>70</v>
      </c>
      <c r="P50" s="15" t="s">
        <v>71</v>
      </c>
    </row>
    <row r="51" ht="33" customHeight="1" spans="1:16">
      <c r="A51" s="26">
        <v>46</v>
      </c>
      <c r="B51" s="27" t="s">
        <v>302</v>
      </c>
      <c r="C51" s="15" t="s">
        <v>32</v>
      </c>
      <c r="D51" s="15" t="s">
        <v>298</v>
      </c>
      <c r="E51" s="15" t="s">
        <v>303</v>
      </c>
      <c r="F51" s="15" t="s">
        <v>129</v>
      </c>
      <c r="G51" s="15" t="s">
        <v>304</v>
      </c>
      <c r="H51" s="15" t="s">
        <v>305</v>
      </c>
      <c r="I51" s="27" t="s">
        <v>65</v>
      </c>
      <c r="J51" s="27" t="s">
        <v>29</v>
      </c>
      <c r="K51" s="27" t="s">
        <v>92</v>
      </c>
      <c r="L51" s="27" t="s">
        <v>93</v>
      </c>
      <c r="M51" s="15" t="s">
        <v>94</v>
      </c>
      <c r="N51" s="15" t="s">
        <v>69</v>
      </c>
      <c r="O51" s="15" t="s">
        <v>70</v>
      </c>
      <c r="P51" s="15" t="s">
        <v>71</v>
      </c>
    </row>
    <row r="52" ht="33" customHeight="1" spans="1:16">
      <c r="A52" s="26">
        <v>47</v>
      </c>
      <c r="B52" s="27" t="s">
        <v>306</v>
      </c>
      <c r="C52" s="15" t="s">
        <v>32</v>
      </c>
      <c r="D52" s="15" t="s">
        <v>298</v>
      </c>
      <c r="E52" s="15" t="s">
        <v>307</v>
      </c>
      <c r="F52" s="15" t="s">
        <v>114</v>
      </c>
      <c r="G52" s="15" t="s">
        <v>308</v>
      </c>
      <c r="H52" s="15" t="s">
        <v>309</v>
      </c>
      <c r="I52" s="27" t="s">
        <v>117</v>
      </c>
      <c r="J52" s="27" t="s">
        <v>33</v>
      </c>
      <c r="K52" s="27" t="s">
        <v>76</v>
      </c>
      <c r="L52" s="27" t="s">
        <v>295</v>
      </c>
      <c r="M52" s="15" t="s">
        <v>296</v>
      </c>
      <c r="N52" s="15" t="s">
        <v>69</v>
      </c>
      <c r="O52" s="15" t="s">
        <v>70</v>
      </c>
      <c r="P52" s="15" t="s">
        <v>71</v>
      </c>
    </row>
    <row r="53" ht="33" customHeight="1" spans="1:16">
      <c r="A53" s="26">
        <v>48</v>
      </c>
      <c r="B53" s="27" t="s">
        <v>310</v>
      </c>
      <c r="C53" s="15" t="s">
        <v>32</v>
      </c>
      <c r="D53" s="15" t="s">
        <v>298</v>
      </c>
      <c r="E53" s="15" t="s">
        <v>311</v>
      </c>
      <c r="F53" s="15" t="s">
        <v>114</v>
      </c>
      <c r="G53" s="15" t="s">
        <v>312</v>
      </c>
      <c r="H53" s="15" t="s">
        <v>313</v>
      </c>
      <c r="I53" s="27" t="s">
        <v>117</v>
      </c>
      <c r="J53" s="27" t="s">
        <v>33</v>
      </c>
      <c r="K53" s="27" t="s">
        <v>124</v>
      </c>
      <c r="L53" s="27" t="s">
        <v>125</v>
      </c>
      <c r="M53" s="15" t="s">
        <v>126</v>
      </c>
      <c r="N53" s="15" t="s">
        <v>69</v>
      </c>
      <c r="O53" s="15" t="s">
        <v>70</v>
      </c>
      <c r="P53" s="15" t="s">
        <v>71</v>
      </c>
    </row>
    <row r="54" ht="33" customHeight="1" spans="1:16">
      <c r="A54" s="26">
        <v>49</v>
      </c>
      <c r="B54" s="27" t="s">
        <v>314</v>
      </c>
      <c r="C54" s="15" t="s">
        <v>32</v>
      </c>
      <c r="D54" s="15" t="s">
        <v>298</v>
      </c>
      <c r="E54" s="15" t="s">
        <v>315</v>
      </c>
      <c r="F54" s="15" t="s">
        <v>129</v>
      </c>
      <c r="G54" s="15" t="s">
        <v>316</v>
      </c>
      <c r="H54" s="15" t="s">
        <v>317</v>
      </c>
      <c r="I54" s="27" t="s">
        <v>117</v>
      </c>
      <c r="J54" s="27" t="s">
        <v>29</v>
      </c>
      <c r="K54" s="27" t="s">
        <v>136</v>
      </c>
      <c r="L54" s="27" t="s">
        <v>137</v>
      </c>
      <c r="M54" s="15" t="s">
        <v>85</v>
      </c>
      <c r="N54" s="15" t="s">
        <v>69</v>
      </c>
      <c r="O54" s="15" t="s">
        <v>70</v>
      </c>
      <c r="P54" s="15" t="s">
        <v>71</v>
      </c>
    </row>
    <row r="55" ht="33" customHeight="1" spans="1:16">
      <c r="A55" s="26">
        <v>50</v>
      </c>
      <c r="B55" s="27" t="s">
        <v>318</v>
      </c>
      <c r="C55" s="15" t="s">
        <v>32</v>
      </c>
      <c r="D55" s="15" t="s">
        <v>319</v>
      </c>
      <c r="E55" s="15" t="s">
        <v>320</v>
      </c>
      <c r="F55" s="15" t="s">
        <v>129</v>
      </c>
      <c r="G55" s="15" t="s">
        <v>321</v>
      </c>
      <c r="H55" s="15" t="s">
        <v>322</v>
      </c>
      <c r="I55" s="27" t="s">
        <v>65</v>
      </c>
      <c r="J55" s="27" t="s">
        <v>29</v>
      </c>
      <c r="K55" s="27" t="s">
        <v>136</v>
      </c>
      <c r="L55" s="27" t="s">
        <v>137</v>
      </c>
      <c r="M55" s="15" t="s">
        <v>85</v>
      </c>
      <c r="N55" s="15" t="s">
        <v>69</v>
      </c>
      <c r="O55" s="15" t="s">
        <v>70</v>
      </c>
      <c r="P55" s="15" t="s">
        <v>71</v>
      </c>
    </row>
    <row r="56" ht="33" customHeight="1" spans="1:16">
      <c r="A56" s="26">
        <v>51</v>
      </c>
      <c r="B56" s="27" t="s">
        <v>323</v>
      </c>
      <c r="C56" s="15" t="s">
        <v>32</v>
      </c>
      <c r="D56" s="15" t="s">
        <v>319</v>
      </c>
      <c r="E56" s="15" t="s">
        <v>324</v>
      </c>
      <c r="F56" s="15" t="s">
        <v>114</v>
      </c>
      <c r="G56" s="15" t="s">
        <v>325</v>
      </c>
      <c r="H56" s="15" t="s">
        <v>326</v>
      </c>
      <c r="I56" s="27" t="s">
        <v>65</v>
      </c>
      <c r="J56" s="27" t="s">
        <v>33</v>
      </c>
      <c r="K56" s="27" t="s">
        <v>136</v>
      </c>
      <c r="L56" s="27" t="s">
        <v>142</v>
      </c>
      <c r="M56" s="15" t="s">
        <v>143</v>
      </c>
      <c r="N56" s="15" t="s">
        <v>69</v>
      </c>
      <c r="O56" s="15" t="s">
        <v>70</v>
      </c>
      <c r="P56" s="15" t="s">
        <v>71</v>
      </c>
    </row>
    <row r="57" ht="33" customHeight="1" spans="1:16">
      <c r="A57" s="26">
        <v>52</v>
      </c>
      <c r="B57" s="27" t="s">
        <v>327</v>
      </c>
      <c r="C57" s="15" t="s">
        <v>32</v>
      </c>
      <c r="D57" s="15" t="s">
        <v>319</v>
      </c>
      <c r="E57" s="15" t="s">
        <v>328</v>
      </c>
      <c r="F57" s="15" t="s">
        <v>37</v>
      </c>
      <c r="G57" s="15" t="s">
        <v>329</v>
      </c>
      <c r="H57" s="15" t="s">
        <v>330</v>
      </c>
      <c r="I57" s="27" t="s">
        <v>65</v>
      </c>
      <c r="J57" s="27" t="s">
        <v>37</v>
      </c>
      <c r="K57" s="27" t="s">
        <v>136</v>
      </c>
      <c r="L57" s="27" t="s">
        <v>331</v>
      </c>
      <c r="M57" s="15" t="s">
        <v>11</v>
      </c>
      <c r="N57" s="15" t="s">
        <v>332</v>
      </c>
      <c r="O57" s="15" t="s">
        <v>333</v>
      </c>
      <c r="P57" s="15" t="s">
        <v>71</v>
      </c>
    </row>
    <row r="58" ht="33" customHeight="1" spans="1:16">
      <c r="A58" s="26">
        <v>53</v>
      </c>
      <c r="B58" s="27" t="s">
        <v>334</v>
      </c>
      <c r="C58" s="15" t="s">
        <v>32</v>
      </c>
      <c r="D58" s="15" t="s">
        <v>319</v>
      </c>
      <c r="E58" s="15" t="s">
        <v>335</v>
      </c>
      <c r="F58" s="15" t="s">
        <v>114</v>
      </c>
      <c r="G58" s="15" t="s">
        <v>336</v>
      </c>
      <c r="H58" s="15" t="s">
        <v>337</v>
      </c>
      <c r="I58" s="27" t="s">
        <v>65</v>
      </c>
      <c r="J58" s="27" t="s">
        <v>33</v>
      </c>
      <c r="K58" s="27" t="s">
        <v>124</v>
      </c>
      <c r="L58" s="27" t="s">
        <v>125</v>
      </c>
      <c r="M58" s="15" t="s">
        <v>126</v>
      </c>
      <c r="N58" s="15" t="s">
        <v>69</v>
      </c>
      <c r="O58" s="15" t="s">
        <v>70</v>
      </c>
      <c r="P58" s="15" t="s">
        <v>71</v>
      </c>
    </row>
    <row r="59" ht="33" customHeight="1" spans="1:16">
      <c r="A59" s="26">
        <v>54</v>
      </c>
      <c r="B59" s="27" t="s">
        <v>338</v>
      </c>
      <c r="C59" s="15" t="s">
        <v>32</v>
      </c>
      <c r="D59" s="15" t="s">
        <v>339</v>
      </c>
      <c r="E59" s="15" t="s">
        <v>340</v>
      </c>
      <c r="F59" s="15" t="s">
        <v>114</v>
      </c>
      <c r="G59" s="15" t="s">
        <v>341</v>
      </c>
      <c r="H59" s="15" t="s">
        <v>342</v>
      </c>
      <c r="I59" s="27" t="s">
        <v>65</v>
      </c>
      <c r="J59" s="27" t="s">
        <v>33</v>
      </c>
      <c r="K59" s="27" t="s">
        <v>124</v>
      </c>
      <c r="L59" s="27" t="s">
        <v>125</v>
      </c>
      <c r="M59" s="15" t="s">
        <v>126</v>
      </c>
      <c r="N59" s="15" t="s">
        <v>69</v>
      </c>
      <c r="O59" s="15" t="s">
        <v>70</v>
      </c>
      <c r="P59" s="15" t="s">
        <v>71</v>
      </c>
    </row>
    <row r="60" ht="33" customHeight="1" spans="1:16">
      <c r="A60" s="26">
        <v>55</v>
      </c>
      <c r="B60" s="27" t="s">
        <v>343</v>
      </c>
      <c r="C60" s="15" t="s">
        <v>32</v>
      </c>
      <c r="D60" s="15" t="s">
        <v>339</v>
      </c>
      <c r="E60" s="15" t="s">
        <v>344</v>
      </c>
      <c r="F60" s="15" t="s">
        <v>129</v>
      </c>
      <c r="G60" s="15" t="s">
        <v>345</v>
      </c>
      <c r="H60" s="15" t="s">
        <v>346</v>
      </c>
      <c r="I60" s="27" t="s">
        <v>65</v>
      </c>
      <c r="J60" s="27" t="s">
        <v>29</v>
      </c>
      <c r="K60" s="27" t="s">
        <v>92</v>
      </c>
      <c r="L60" s="27" t="s">
        <v>93</v>
      </c>
      <c r="M60" s="15" t="s">
        <v>94</v>
      </c>
      <c r="N60" s="15" t="s">
        <v>69</v>
      </c>
      <c r="O60" s="15" t="s">
        <v>70</v>
      </c>
      <c r="P60" s="15" t="s">
        <v>71</v>
      </c>
    </row>
    <row r="61" ht="33" customHeight="1" spans="1:16">
      <c r="A61" s="26">
        <v>56</v>
      </c>
      <c r="B61" s="27" t="s">
        <v>347</v>
      </c>
      <c r="C61" s="15" t="s">
        <v>32</v>
      </c>
      <c r="D61" s="15" t="s">
        <v>339</v>
      </c>
      <c r="E61" s="15" t="s">
        <v>348</v>
      </c>
      <c r="F61" s="15" t="s">
        <v>114</v>
      </c>
      <c r="G61" s="15" t="s">
        <v>349</v>
      </c>
      <c r="H61" s="15" t="s">
        <v>350</v>
      </c>
      <c r="I61" s="27" t="s">
        <v>65</v>
      </c>
      <c r="J61" s="27" t="s">
        <v>33</v>
      </c>
      <c r="K61" s="27" t="s">
        <v>92</v>
      </c>
      <c r="L61" s="27" t="s">
        <v>118</v>
      </c>
      <c r="M61" s="15" t="s">
        <v>119</v>
      </c>
      <c r="N61" s="15" t="s">
        <v>69</v>
      </c>
      <c r="O61" s="15" t="s">
        <v>70</v>
      </c>
      <c r="P61" s="15" t="s">
        <v>71</v>
      </c>
    </row>
    <row r="62" ht="33" customHeight="1" spans="1:16">
      <c r="A62" s="26">
        <v>57</v>
      </c>
      <c r="B62" s="27" t="s">
        <v>351</v>
      </c>
      <c r="C62" s="15" t="s">
        <v>32</v>
      </c>
      <c r="D62" s="15" t="s">
        <v>339</v>
      </c>
      <c r="E62" s="15" t="s">
        <v>352</v>
      </c>
      <c r="F62" s="15" t="s">
        <v>129</v>
      </c>
      <c r="G62" s="15" t="s">
        <v>353</v>
      </c>
      <c r="H62" s="15" t="s">
        <v>354</v>
      </c>
      <c r="I62" s="27" t="s">
        <v>65</v>
      </c>
      <c r="J62" s="27" t="s">
        <v>29</v>
      </c>
      <c r="K62" s="27" t="s">
        <v>136</v>
      </c>
      <c r="L62" s="27" t="s">
        <v>137</v>
      </c>
      <c r="M62" s="15" t="s">
        <v>85</v>
      </c>
      <c r="N62" s="15" t="s">
        <v>69</v>
      </c>
      <c r="O62" s="15" t="s">
        <v>70</v>
      </c>
      <c r="P62" s="15" t="s">
        <v>71</v>
      </c>
    </row>
    <row r="63" ht="33" customHeight="1" spans="1:16">
      <c r="A63" s="26">
        <v>58</v>
      </c>
      <c r="B63" s="27" t="s">
        <v>355</v>
      </c>
      <c r="C63" s="15" t="s">
        <v>34</v>
      </c>
      <c r="D63" s="15" t="s">
        <v>356</v>
      </c>
      <c r="E63" s="15" t="s">
        <v>357</v>
      </c>
      <c r="F63" s="15" t="s">
        <v>114</v>
      </c>
      <c r="G63" s="15" t="s">
        <v>358</v>
      </c>
      <c r="H63" s="15" t="s">
        <v>359</v>
      </c>
      <c r="I63" s="27" t="s">
        <v>117</v>
      </c>
      <c r="J63" s="27" t="s">
        <v>33</v>
      </c>
      <c r="K63" s="27" t="s">
        <v>136</v>
      </c>
      <c r="L63" s="27" t="s">
        <v>142</v>
      </c>
      <c r="M63" s="15" t="s">
        <v>143</v>
      </c>
      <c r="N63" s="15" t="s">
        <v>69</v>
      </c>
      <c r="O63" s="15" t="s">
        <v>70</v>
      </c>
      <c r="P63" s="15" t="s">
        <v>71</v>
      </c>
    </row>
    <row r="64" ht="33" customHeight="1" spans="1:16">
      <c r="A64" s="26">
        <v>59</v>
      </c>
      <c r="B64" s="27" t="s">
        <v>360</v>
      </c>
      <c r="C64" s="15" t="s">
        <v>34</v>
      </c>
      <c r="D64" s="15" t="s">
        <v>356</v>
      </c>
      <c r="E64" s="15" t="s">
        <v>361</v>
      </c>
      <c r="F64" s="15" t="s">
        <v>129</v>
      </c>
      <c r="G64" s="15" t="s">
        <v>362</v>
      </c>
      <c r="H64" s="15" t="s">
        <v>363</v>
      </c>
      <c r="I64" s="27" t="s">
        <v>117</v>
      </c>
      <c r="J64" s="27" t="s">
        <v>29</v>
      </c>
      <c r="K64" s="27" t="s">
        <v>136</v>
      </c>
      <c r="L64" s="27" t="s">
        <v>137</v>
      </c>
      <c r="M64" s="15" t="s">
        <v>85</v>
      </c>
      <c r="N64" s="15" t="s">
        <v>69</v>
      </c>
      <c r="O64" s="15" t="s">
        <v>70</v>
      </c>
      <c r="P64" s="15" t="s">
        <v>71</v>
      </c>
    </row>
    <row r="65" ht="33" customHeight="1" spans="1:16">
      <c r="A65" s="26">
        <v>60</v>
      </c>
      <c r="B65" s="27" t="s">
        <v>364</v>
      </c>
      <c r="C65" s="15" t="s">
        <v>34</v>
      </c>
      <c r="D65" s="15" t="s">
        <v>356</v>
      </c>
      <c r="E65" s="15" t="s">
        <v>365</v>
      </c>
      <c r="F65" s="15" t="s">
        <v>114</v>
      </c>
      <c r="G65" s="15" t="s">
        <v>366</v>
      </c>
      <c r="H65" s="15" t="s">
        <v>367</v>
      </c>
      <c r="I65" s="27" t="s">
        <v>117</v>
      </c>
      <c r="J65" s="27" t="s">
        <v>33</v>
      </c>
      <c r="K65" s="27" t="s">
        <v>136</v>
      </c>
      <c r="L65" s="27" t="s">
        <v>142</v>
      </c>
      <c r="M65" s="15" t="s">
        <v>143</v>
      </c>
      <c r="N65" s="15" t="s">
        <v>69</v>
      </c>
      <c r="O65" s="15" t="s">
        <v>70</v>
      </c>
      <c r="P65" s="15" t="s">
        <v>71</v>
      </c>
    </row>
    <row r="66" ht="33" customHeight="1" spans="1:16">
      <c r="A66" s="26">
        <v>61</v>
      </c>
      <c r="B66" s="27" t="s">
        <v>368</v>
      </c>
      <c r="C66" s="15" t="s">
        <v>34</v>
      </c>
      <c r="D66" s="15" t="s">
        <v>356</v>
      </c>
      <c r="E66" s="15" t="s">
        <v>369</v>
      </c>
      <c r="F66" s="15" t="s">
        <v>114</v>
      </c>
      <c r="G66" s="15" t="s">
        <v>370</v>
      </c>
      <c r="H66" s="15" t="s">
        <v>371</v>
      </c>
      <c r="I66" s="27" t="s">
        <v>117</v>
      </c>
      <c r="J66" s="27" t="s">
        <v>33</v>
      </c>
      <c r="K66" s="27" t="s">
        <v>136</v>
      </c>
      <c r="L66" s="27" t="s">
        <v>142</v>
      </c>
      <c r="M66" s="15" t="s">
        <v>143</v>
      </c>
      <c r="N66" s="15" t="s">
        <v>69</v>
      </c>
      <c r="O66" s="15" t="s">
        <v>70</v>
      </c>
      <c r="P66" s="15" t="s">
        <v>71</v>
      </c>
    </row>
    <row r="67" ht="33" customHeight="1" spans="1:16">
      <c r="A67" s="26">
        <v>62</v>
      </c>
      <c r="B67" s="27" t="s">
        <v>372</v>
      </c>
      <c r="C67" s="15" t="s">
        <v>34</v>
      </c>
      <c r="D67" s="15" t="s">
        <v>356</v>
      </c>
      <c r="E67" s="15" t="s">
        <v>373</v>
      </c>
      <c r="F67" s="15" t="s">
        <v>129</v>
      </c>
      <c r="G67" s="15" t="s">
        <v>374</v>
      </c>
      <c r="H67" s="15" t="s">
        <v>375</v>
      </c>
      <c r="I67" s="27" t="s">
        <v>117</v>
      </c>
      <c r="J67" s="27" t="s">
        <v>29</v>
      </c>
      <c r="K67" s="27" t="s">
        <v>76</v>
      </c>
      <c r="L67" s="27" t="s">
        <v>77</v>
      </c>
      <c r="M67" s="15" t="s">
        <v>376</v>
      </c>
      <c r="N67" s="15" t="s">
        <v>69</v>
      </c>
      <c r="O67" s="15" t="s">
        <v>70</v>
      </c>
      <c r="P67" s="15" t="s">
        <v>71</v>
      </c>
    </row>
    <row r="68" ht="33" customHeight="1" spans="1:16">
      <c r="A68" s="26">
        <v>63</v>
      </c>
      <c r="B68" s="27" t="s">
        <v>377</v>
      </c>
      <c r="C68" s="15" t="s">
        <v>34</v>
      </c>
      <c r="D68" s="15" t="s">
        <v>356</v>
      </c>
      <c r="E68" s="15" t="s">
        <v>378</v>
      </c>
      <c r="F68" s="15" t="s">
        <v>114</v>
      </c>
      <c r="G68" s="15" t="s">
        <v>379</v>
      </c>
      <c r="H68" s="15" t="s">
        <v>380</v>
      </c>
      <c r="I68" s="27" t="s">
        <v>117</v>
      </c>
      <c r="J68" s="27" t="s">
        <v>33</v>
      </c>
      <c r="K68" s="27" t="s">
        <v>136</v>
      </c>
      <c r="L68" s="27" t="s">
        <v>142</v>
      </c>
      <c r="M68" s="15" t="s">
        <v>143</v>
      </c>
      <c r="N68" s="15" t="s">
        <v>69</v>
      </c>
      <c r="O68" s="15" t="s">
        <v>70</v>
      </c>
      <c r="P68" s="15" t="s">
        <v>71</v>
      </c>
    </row>
    <row r="69" ht="33" customHeight="1" spans="1:16">
      <c r="A69" s="26">
        <v>64</v>
      </c>
      <c r="B69" s="27" t="s">
        <v>381</v>
      </c>
      <c r="C69" s="15" t="s">
        <v>34</v>
      </c>
      <c r="D69" s="15" t="s">
        <v>356</v>
      </c>
      <c r="E69" s="15" t="s">
        <v>382</v>
      </c>
      <c r="F69" s="15" t="s">
        <v>129</v>
      </c>
      <c r="G69" s="15" t="s">
        <v>383</v>
      </c>
      <c r="H69" s="15" t="s">
        <v>384</v>
      </c>
      <c r="I69" s="27" t="s">
        <v>117</v>
      </c>
      <c r="J69" s="27" t="s">
        <v>29</v>
      </c>
      <c r="K69" s="27" t="s">
        <v>66</v>
      </c>
      <c r="L69" s="27" t="s">
        <v>67</v>
      </c>
      <c r="M69" s="15" t="s">
        <v>68</v>
      </c>
      <c r="N69" s="15" t="s">
        <v>69</v>
      </c>
      <c r="O69" s="15" t="s">
        <v>70</v>
      </c>
      <c r="P69" s="15" t="s">
        <v>71</v>
      </c>
    </row>
    <row r="70" ht="33" customHeight="1" spans="1:16">
      <c r="A70" s="26">
        <v>65</v>
      </c>
      <c r="B70" s="27" t="s">
        <v>385</v>
      </c>
      <c r="C70" s="15" t="s">
        <v>34</v>
      </c>
      <c r="D70" s="15" t="s">
        <v>356</v>
      </c>
      <c r="E70" s="15" t="s">
        <v>386</v>
      </c>
      <c r="F70" s="15" t="s">
        <v>114</v>
      </c>
      <c r="G70" s="15" t="s">
        <v>387</v>
      </c>
      <c r="H70" s="15" t="s">
        <v>388</v>
      </c>
      <c r="I70" s="27" t="s">
        <v>117</v>
      </c>
      <c r="J70" s="27" t="s">
        <v>33</v>
      </c>
      <c r="K70" s="27" t="s">
        <v>66</v>
      </c>
      <c r="L70" s="27" t="s">
        <v>152</v>
      </c>
      <c r="M70" s="15" t="s">
        <v>153</v>
      </c>
      <c r="N70" s="15" t="s">
        <v>69</v>
      </c>
      <c r="O70" s="15" t="s">
        <v>70</v>
      </c>
      <c r="P70" s="15" t="s">
        <v>71</v>
      </c>
    </row>
    <row r="71" ht="33" customHeight="1" spans="1:16">
      <c r="A71" s="26">
        <v>66</v>
      </c>
      <c r="B71" s="27" t="s">
        <v>389</v>
      </c>
      <c r="C71" s="15" t="s">
        <v>36</v>
      </c>
      <c r="D71" s="15" t="s">
        <v>390</v>
      </c>
      <c r="E71" s="15" t="s">
        <v>391</v>
      </c>
      <c r="F71" s="15" t="s">
        <v>114</v>
      </c>
      <c r="G71" s="15" t="s">
        <v>392</v>
      </c>
      <c r="H71" s="15" t="s">
        <v>393</v>
      </c>
      <c r="I71" s="27" t="s">
        <v>117</v>
      </c>
      <c r="J71" s="27" t="s">
        <v>33</v>
      </c>
      <c r="K71" s="27" t="s">
        <v>136</v>
      </c>
      <c r="L71" s="27" t="s">
        <v>142</v>
      </c>
      <c r="M71" s="15" t="s">
        <v>143</v>
      </c>
      <c r="N71" s="15" t="s">
        <v>69</v>
      </c>
      <c r="O71" s="15" t="s">
        <v>70</v>
      </c>
      <c r="P71" s="15" t="s">
        <v>71</v>
      </c>
    </row>
    <row r="72" ht="33" customHeight="1" spans="1:16">
      <c r="A72" s="26">
        <v>67</v>
      </c>
      <c r="B72" s="27" t="s">
        <v>394</v>
      </c>
      <c r="C72" s="15" t="s">
        <v>36</v>
      </c>
      <c r="D72" s="15" t="s">
        <v>390</v>
      </c>
      <c r="E72" s="15" t="s">
        <v>395</v>
      </c>
      <c r="F72" s="15" t="s">
        <v>129</v>
      </c>
      <c r="G72" s="15" t="s">
        <v>396</v>
      </c>
      <c r="H72" s="15" t="s">
        <v>397</v>
      </c>
      <c r="I72" s="27" t="s">
        <v>117</v>
      </c>
      <c r="J72" s="27" t="s">
        <v>29</v>
      </c>
      <c r="K72" s="27" t="s">
        <v>136</v>
      </c>
      <c r="L72" s="27" t="s">
        <v>137</v>
      </c>
      <c r="M72" s="15" t="s">
        <v>85</v>
      </c>
      <c r="N72" s="15" t="s">
        <v>69</v>
      </c>
      <c r="O72" s="15" t="s">
        <v>70</v>
      </c>
      <c r="P72" s="15" t="s">
        <v>71</v>
      </c>
    </row>
    <row r="73" ht="33" customHeight="1" spans="1:16">
      <c r="A73" s="26">
        <v>68</v>
      </c>
      <c r="B73" s="27" t="s">
        <v>398</v>
      </c>
      <c r="C73" s="15" t="s">
        <v>36</v>
      </c>
      <c r="D73" s="15" t="s">
        <v>390</v>
      </c>
      <c r="E73" s="15" t="s">
        <v>399</v>
      </c>
      <c r="F73" s="15" t="s">
        <v>114</v>
      </c>
      <c r="G73" s="15" t="s">
        <v>400</v>
      </c>
      <c r="H73" s="15" t="s">
        <v>401</v>
      </c>
      <c r="I73" s="27" t="s">
        <v>117</v>
      </c>
      <c r="J73" s="27" t="s">
        <v>33</v>
      </c>
      <c r="K73" s="27" t="s">
        <v>136</v>
      </c>
      <c r="L73" s="27" t="s">
        <v>142</v>
      </c>
      <c r="M73" s="15" t="s">
        <v>143</v>
      </c>
      <c r="N73" s="15" t="s">
        <v>69</v>
      </c>
      <c r="O73" s="15" t="s">
        <v>70</v>
      </c>
      <c r="P73" s="15" t="s">
        <v>71</v>
      </c>
    </row>
    <row r="74" ht="33" customHeight="1" spans="1:16">
      <c r="A74" s="26">
        <v>69</v>
      </c>
      <c r="B74" s="27" t="s">
        <v>402</v>
      </c>
      <c r="C74" s="15" t="s">
        <v>36</v>
      </c>
      <c r="D74" s="15" t="s">
        <v>390</v>
      </c>
      <c r="E74" s="15" t="s">
        <v>403</v>
      </c>
      <c r="F74" s="15" t="s">
        <v>129</v>
      </c>
      <c r="G74" s="15" t="s">
        <v>404</v>
      </c>
      <c r="H74" s="15" t="s">
        <v>405</v>
      </c>
      <c r="I74" s="27" t="s">
        <v>117</v>
      </c>
      <c r="J74" s="27" t="s">
        <v>29</v>
      </c>
      <c r="K74" s="27" t="s">
        <v>179</v>
      </c>
      <c r="L74" s="27" t="s">
        <v>180</v>
      </c>
      <c r="M74" s="15" t="s">
        <v>181</v>
      </c>
      <c r="N74" s="15" t="s">
        <v>69</v>
      </c>
      <c r="O74" s="15" t="s">
        <v>70</v>
      </c>
      <c r="P74" s="15" t="s">
        <v>71</v>
      </c>
    </row>
    <row r="75" ht="33" customHeight="1" spans="1:16">
      <c r="A75" s="26">
        <v>70</v>
      </c>
      <c r="B75" s="27" t="s">
        <v>406</v>
      </c>
      <c r="C75" s="15" t="s">
        <v>36</v>
      </c>
      <c r="D75" s="15" t="s">
        <v>390</v>
      </c>
      <c r="E75" s="15" t="s">
        <v>399</v>
      </c>
      <c r="F75" s="15" t="s">
        <v>114</v>
      </c>
      <c r="G75" s="15" t="s">
        <v>407</v>
      </c>
      <c r="H75" s="15" t="s">
        <v>408</v>
      </c>
      <c r="I75" s="27" t="s">
        <v>117</v>
      </c>
      <c r="J75" s="27" t="s">
        <v>33</v>
      </c>
      <c r="K75" s="27" t="s">
        <v>136</v>
      </c>
      <c r="L75" s="27" t="s">
        <v>142</v>
      </c>
      <c r="M75" s="15" t="s">
        <v>143</v>
      </c>
      <c r="N75" s="15" t="s">
        <v>69</v>
      </c>
      <c r="O75" s="15" t="s">
        <v>70</v>
      </c>
      <c r="P75" s="15" t="s">
        <v>71</v>
      </c>
    </row>
    <row r="76" ht="33" customHeight="1" spans="1:16">
      <c r="A76" s="26">
        <v>71</v>
      </c>
      <c r="B76" s="27" t="s">
        <v>409</v>
      </c>
      <c r="C76" s="15" t="s">
        <v>36</v>
      </c>
      <c r="D76" s="15" t="s">
        <v>390</v>
      </c>
      <c r="E76" s="15" t="s">
        <v>410</v>
      </c>
      <c r="F76" s="15" t="s">
        <v>129</v>
      </c>
      <c r="G76" s="15" t="s">
        <v>411</v>
      </c>
      <c r="H76" s="15" t="s">
        <v>412</v>
      </c>
      <c r="I76" s="27" t="s">
        <v>117</v>
      </c>
      <c r="J76" s="27" t="s">
        <v>29</v>
      </c>
      <c r="K76" s="27" t="s">
        <v>124</v>
      </c>
      <c r="L76" s="27" t="s">
        <v>413</v>
      </c>
      <c r="M76" s="15" t="s">
        <v>85</v>
      </c>
      <c r="N76" s="15" t="s">
        <v>69</v>
      </c>
      <c r="O76" s="15" t="s">
        <v>70</v>
      </c>
      <c r="P76" s="15" t="s">
        <v>71</v>
      </c>
    </row>
    <row r="77" ht="33" customHeight="1" spans="1:16">
      <c r="A77" s="26">
        <v>72</v>
      </c>
      <c r="B77" s="27" t="s">
        <v>414</v>
      </c>
      <c r="C77" s="15" t="s">
        <v>36</v>
      </c>
      <c r="D77" s="15" t="s">
        <v>390</v>
      </c>
      <c r="E77" s="15" t="s">
        <v>415</v>
      </c>
      <c r="F77" s="15" t="s">
        <v>114</v>
      </c>
      <c r="G77" s="15" t="s">
        <v>416</v>
      </c>
      <c r="H77" s="15" t="s">
        <v>417</v>
      </c>
      <c r="I77" s="27" t="s">
        <v>117</v>
      </c>
      <c r="J77" s="27" t="s">
        <v>33</v>
      </c>
      <c r="K77" s="27" t="s">
        <v>136</v>
      </c>
      <c r="L77" s="27" t="s">
        <v>142</v>
      </c>
      <c r="M77" s="15" t="s">
        <v>143</v>
      </c>
      <c r="N77" s="15" t="s">
        <v>69</v>
      </c>
      <c r="O77" s="15" t="s">
        <v>70</v>
      </c>
      <c r="P77" s="15" t="s">
        <v>71</v>
      </c>
    </row>
    <row r="78" ht="33" customHeight="1" spans="1:16">
      <c r="A78" s="26">
        <v>73</v>
      </c>
      <c r="B78" s="27" t="s">
        <v>418</v>
      </c>
      <c r="C78" s="15" t="s">
        <v>36</v>
      </c>
      <c r="D78" s="15" t="s">
        <v>419</v>
      </c>
      <c r="E78" s="15" t="s">
        <v>420</v>
      </c>
      <c r="F78" s="15" t="s">
        <v>129</v>
      </c>
      <c r="G78" s="15" t="s">
        <v>421</v>
      </c>
      <c r="H78" s="15" t="s">
        <v>422</v>
      </c>
      <c r="I78" s="27" t="s">
        <v>65</v>
      </c>
      <c r="J78" s="27" t="s">
        <v>29</v>
      </c>
      <c r="K78" s="27" t="s">
        <v>136</v>
      </c>
      <c r="L78" s="27" t="s">
        <v>137</v>
      </c>
      <c r="M78" s="15" t="s">
        <v>85</v>
      </c>
      <c r="N78" s="15" t="s">
        <v>69</v>
      </c>
      <c r="O78" s="15" t="s">
        <v>70</v>
      </c>
      <c r="P78" s="15" t="s">
        <v>71</v>
      </c>
    </row>
    <row r="79" ht="33" customHeight="1" spans="1:16">
      <c r="A79" s="26">
        <v>74</v>
      </c>
      <c r="B79" s="27" t="s">
        <v>423</v>
      </c>
      <c r="C79" s="15" t="s">
        <v>36</v>
      </c>
      <c r="D79" s="15" t="s">
        <v>419</v>
      </c>
      <c r="E79" s="15" t="s">
        <v>424</v>
      </c>
      <c r="F79" s="15" t="s">
        <v>114</v>
      </c>
      <c r="G79" s="15" t="s">
        <v>425</v>
      </c>
      <c r="H79" s="15" t="s">
        <v>426</v>
      </c>
      <c r="I79" s="27" t="s">
        <v>65</v>
      </c>
      <c r="J79" s="27" t="s">
        <v>33</v>
      </c>
      <c r="K79" s="27" t="s">
        <v>124</v>
      </c>
      <c r="L79" s="27" t="s">
        <v>125</v>
      </c>
      <c r="M79" s="15" t="s">
        <v>126</v>
      </c>
      <c r="N79" s="15" t="s">
        <v>69</v>
      </c>
      <c r="O79" s="15" t="s">
        <v>70</v>
      </c>
      <c r="P79" s="15" t="s">
        <v>71</v>
      </c>
    </row>
    <row r="80" ht="33" customHeight="1" spans="1:16">
      <c r="A80" s="26">
        <v>75</v>
      </c>
      <c r="B80" s="27" t="s">
        <v>427</v>
      </c>
      <c r="C80" s="15" t="s">
        <v>36</v>
      </c>
      <c r="D80" s="15" t="s">
        <v>419</v>
      </c>
      <c r="E80" s="15" t="s">
        <v>403</v>
      </c>
      <c r="F80" s="15" t="s">
        <v>129</v>
      </c>
      <c r="G80" s="15" t="s">
        <v>428</v>
      </c>
      <c r="H80" s="15" t="s">
        <v>429</v>
      </c>
      <c r="I80" s="27" t="s">
        <v>65</v>
      </c>
      <c r="J80" s="27" t="s">
        <v>29</v>
      </c>
      <c r="K80" s="27" t="s">
        <v>124</v>
      </c>
      <c r="L80" s="27" t="s">
        <v>413</v>
      </c>
      <c r="M80" s="15" t="s">
        <v>85</v>
      </c>
      <c r="N80" s="15" t="s">
        <v>69</v>
      </c>
      <c r="O80" s="15" t="s">
        <v>70</v>
      </c>
      <c r="P80" s="15" t="s">
        <v>71</v>
      </c>
    </row>
    <row r="81" ht="33" customHeight="1" spans="1:16">
      <c r="A81" s="26">
        <v>76</v>
      </c>
      <c r="B81" s="27" t="s">
        <v>430</v>
      </c>
      <c r="C81" s="15" t="s">
        <v>36</v>
      </c>
      <c r="D81" s="15" t="s">
        <v>419</v>
      </c>
      <c r="E81" s="15" t="s">
        <v>399</v>
      </c>
      <c r="F81" s="15" t="s">
        <v>114</v>
      </c>
      <c r="G81" s="15" t="s">
        <v>431</v>
      </c>
      <c r="H81" s="15" t="s">
        <v>432</v>
      </c>
      <c r="I81" s="27" t="s">
        <v>65</v>
      </c>
      <c r="J81" s="27" t="s">
        <v>33</v>
      </c>
      <c r="K81" s="27" t="s">
        <v>136</v>
      </c>
      <c r="L81" s="27" t="s">
        <v>142</v>
      </c>
      <c r="M81" s="15" t="s">
        <v>143</v>
      </c>
      <c r="N81" s="15" t="s">
        <v>69</v>
      </c>
      <c r="O81" s="15" t="s">
        <v>70</v>
      </c>
      <c r="P81" s="15" t="s">
        <v>71</v>
      </c>
    </row>
    <row r="82" ht="33" customHeight="1" spans="1:16">
      <c r="A82" s="26">
        <v>77</v>
      </c>
      <c r="B82" s="27" t="s">
        <v>433</v>
      </c>
      <c r="C82" s="15" t="s">
        <v>36</v>
      </c>
      <c r="D82" s="15" t="s">
        <v>419</v>
      </c>
      <c r="E82" s="15" t="s">
        <v>403</v>
      </c>
      <c r="F82" s="15" t="s">
        <v>129</v>
      </c>
      <c r="G82" s="15" t="s">
        <v>434</v>
      </c>
      <c r="H82" s="15" t="s">
        <v>435</v>
      </c>
      <c r="I82" s="27" t="s">
        <v>65</v>
      </c>
      <c r="J82" s="27" t="s">
        <v>29</v>
      </c>
      <c r="K82" s="27" t="s">
        <v>136</v>
      </c>
      <c r="L82" s="27" t="s">
        <v>137</v>
      </c>
      <c r="M82" s="15" t="s">
        <v>85</v>
      </c>
      <c r="N82" s="15" t="s">
        <v>69</v>
      </c>
      <c r="O82" s="15" t="s">
        <v>70</v>
      </c>
      <c r="P82" s="15" t="s">
        <v>71</v>
      </c>
    </row>
    <row r="83" ht="33" customHeight="1" spans="1:16">
      <c r="A83" s="31">
        <v>78</v>
      </c>
      <c r="B83" s="32" t="s">
        <v>436</v>
      </c>
      <c r="C83" s="18" t="s">
        <v>36</v>
      </c>
      <c r="D83" s="18" t="s">
        <v>419</v>
      </c>
      <c r="E83" s="18" t="s">
        <v>399</v>
      </c>
      <c r="F83" s="18" t="s">
        <v>114</v>
      </c>
      <c r="G83" s="18" t="s">
        <v>437</v>
      </c>
      <c r="H83" s="18" t="s">
        <v>438</v>
      </c>
      <c r="I83" s="32" t="s">
        <v>65</v>
      </c>
      <c r="J83" s="32" t="s">
        <v>33</v>
      </c>
      <c r="K83" s="32" t="s">
        <v>136</v>
      </c>
      <c r="L83" s="32" t="s">
        <v>142</v>
      </c>
      <c r="M83" s="18" t="s">
        <v>143</v>
      </c>
      <c r="N83" s="18" t="s">
        <v>69</v>
      </c>
      <c r="O83" s="18" t="s">
        <v>70</v>
      </c>
      <c r="P83" s="18" t="s">
        <v>71</v>
      </c>
    </row>
  </sheetData>
  <mergeCells>
    <mergeCell ref="A1:P1"/>
    <mergeCell ref="A2:P2"/>
    <mergeCell ref="A3:P3"/>
  </mergeCells>
  <conditionalFormatting sqref="N6:N83">
    <cfRule type="containsText" dxfId="0" priority="1" operator="between" text="缺少">
      <formula>NOT(ISERROR(SEARCH("缺少",N6)))</formula>
    </cfRule>
    <cfRule type="containsText" dxfId="1" priority="2" operator="between" text="近似">
      <formula>NOT(ISERROR(SEARCH("近似",N6)))</formula>
    </cfRule>
    <cfRule type="containsText" dxfId="2" priority="3" operator="between" text="直接">
      <formula>NOT(ISERROR(SEARCH("直接",N6)))</formula>
    </cfRule>
  </conditionalFormatting>
  <pageMargins left="0.700000" right="0.700000" bottom="0.750000" top="0.750000" header="0.300000" footer="0.7500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showGridLines="0" workbookViewId="0">
      <selection activeCell="A1" sqref="A1:J1"/>
    </sheetView>
  </sheetViews>
  <sheetFormatPr defaultColWidth="9" defaultRowHeight="14"/>
  <cols>
    <col min="1" max="1" width="37.5" customWidth="1"/>
    <col min="2" max="2" width="30" customWidth="1"/>
    <col min="3" max="3" width="12.5" customWidth="1"/>
    <col min="4" max="4" width="15" customWidth="1"/>
    <col min="5" max="5" width="11.25" customWidth="1"/>
    <col min="6" max="6" width="15" customWidth="1"/>
    <col min="7" max="7" width="16.25" customWidth="1"/>
    <col min="8" max="8" width="25" customWidth="1"/>
    <col min="9" max="9" width="32.5" customWidth="1"/>
    <col min="10" max="10" width="38.75" customWidth="1"/>
  </cols>
  <sheetData>
    <row r="1" ht="28.5" customHeight="1" spans="1:10">
      <c r="A1" s="1" t="s">
        <v>439</v>
      </c>
      <c r="B1" s="1" t="s">
        <v>439</v>
      </c>
      <c r="C1" s="1" t="s">
        <v>439</v>
      </c>
      <c r="D1" s="1" t="s">
        <v>439</v>
      </c>
      <c r="E1" s="1" t="s">
        <v>439</v>
      </c>
      <c r="F1" s="1" t="s">
        <v>439</v>
      </c>
      <c r="G1" s="1" t="s">
        <v>439</v>
      </c>
      <c r="H1" s="1" t="s">
        <v>439</v>
      </c>
      <c r="I1" s="1" t="s">
        <v>439</v>
      </c>
      <c r="J1" s="1" t="s">
        <v>439</v>
      </c>
    </row>
    <row r="2" spans="1:10">
      <c r="A2" s="11" t="s">
        <v>440</v>
      </c>
      <c r="B2" s="11" t="s">
        <v>440</v>
      </c>
      <c r="C2" s="11" t="s">
        <v>440</v>
      </c>
      <c r="D2" s="11" t="s">
        <v>440</v>
      </c>
      <c r="E2" s="11" t="s">
        <v>440</v>
      </c>
      <c r="F2" s="11" t="s">
        <v>440</v>
      </c>
      <c r="G2" s="11" t="s">
        <v>440</v>
      </c>
      <c r="H2" s="11" t="s">
        <v>440</v>
      </c>
      <c r="I2" s="11" t="s">
        <v>440</v>
      </c>
      <c r="J2" s="11" t="s">
        <v>440</v>
      </c>
    </row>
    <row r="4" ht="19.5" customHeight="1" spans="1:10">
      <c r="A4" s="3" t="s">
        <v>441</v>
      </c>
      <c r="B4" s="3" t="s">
        <v>441</v>
      </c>
      <c r="C4" s="3" t="s">
        <v>441</v>
      </c>
      <c r="D4" s="3" t="s">
        <v>441</v>
      </c>
      <c r="E4" s="3" t="s">
        <v>441</v>
      </c>
      <c r="F4" s="3" t="s">
        <v>441</v>
      </c>
      <c r="G4" s="3" t="s">
        <v>441</v>
      </c>
      <c r="H4" s="3" t="s">
        <v>441</v>
      </c>
      <c r="I4" s="3" t="s">
        <v>441</v>
      </c>
      <c r="J4" s="3" t="s">
        <v>441</v>
      </c>
    </row>
    <row r="5" ht="25.5" customHeight="1" spans="1:10">
      <c r="A5" s="4" t="s">
        <v>442</v>
      </c>
      <c r="B5" s="4" t="s">
        <v>443</v>
      </c>
      <c r="C5" s="4" t="s">
        <v>444</v>
      </c>
      <c r="D5" s="4" t="s">
        <v>445</v>
      </c>
      <c r="E5" s="4" t="s">
        <v>446</v>
      </c>
      <c r="F5" s="4" t="s">
        <v>49</v>
      </c>
      <c r="G5" s="4" t="s">
        <v>447</v>
      </c>
      <c r="H5" s="4" t="s">
        <v>448</v>
      </c>
      <c r="I5" s="4" t="s">
        <v>449</v>
      </c>
      <c r="J5" s="4" t="s">
        <v>450</v>
      </c>
    </row>
    <row r="6" ht="28.5" customHeight="1" spans="1:10">
      <c r="A6" s="12" t="s">
        <v>451</v>
      </c>
      <c r="B6" s="12" t="s">
        <v>452</v>
      </c>
      <c r="C6" s="12" t="s">
        <v>453</v>
      </c>
      <c r="D6" s="13">
        <v>2921833</v>
      </c>
      <c r="E6" s="14">
        <f t="shared" ref="E6:E35" si="0">D6/1024/1024</f>
        <v>2.78647708892822</v>
      </c>
      <c r="F6" s="12" t="s">
        <v>454</v>
      </c>
      <c r="G6" s="12" t="s">
        <v>455</v>
      </c>
      <c r="H6" s="12" t="s">
        <v>456</v>
      </c>
      <c r="I6" s="12" t="s">
        <v>457</v>
      </c>
      <c r="J6" s="12" t="s">
        <v>458</v>
      </c>
    </row>
    <row r="7" ht="28.5" customHeight="1" spans="1:10">
      <c r="A7" s="15" t="s">
        <v>68</v>
      </c>
      <c r="B7" s="15" t="s">
        <v>459</v>
      </c>
      <c r="C7" s="15" t="s">
        <v>453</v>
      </c>
      <c r="D7" s="16">
        <v>2845211</v>
      </c>
      <c r="E7" s="17">
        <f t="shared" si="0"/>
        <v>2.71340465545654</v>
      </c>
      <c r="F7" s="15" t="s">
        <v>460</v>
      </c>
      <c r="G7" s="15" t="s">
        <v>461</v>
      </c>
      <c r="H7" s="15" t="s">
        <v>462</v>
      </c>
      <c r="I7" s="15" t="s">
        <v>463</v>
      </c>
      <c r="J7" s="15" t="s">
        <v>464</v>
      </c>
    </row>
    <row r="8" ht="28.5" customHeight="1" spans="1:10">
      <c r="A8" s="15" t="s">
        <v>94</v>
      </c>
      <c r="B8" s="15" t="s">
        <v>465</v>
      </c>
      <c r="C8" s="15" t="s">
        <v>453</v>
      </c>
      <c r="D8" s="16">
        <v>2867446</v>
      </c>
      <c r="E8" s="17">
        <f t="shared" si="0"/>
        <v>2.73460960388184</v>
      </c>
      <c r="F8" s="15" t="s">
        <v>460</v>
      </c>
      <c r="G8" s="15" t="s">
        <v>466</v>
      </c>
      <c r="H8" s="15" t="s">
        <v>462</v>
      </c>
      <c r="I8" s="15" t="s">
        <v>463</v>
      </c>
      <c r="J8" s="15" t="s">
        <v>467</v>
      </c>
    </row>
    <row r="9" ht="28.5" customHeight="1" spans="1:10">
      <c r="A9" s="15" t="s">
        <v>85</v>
      </c>
      <c r="B9" s="15" t="s">
        <v>468</v>
      </c>
      <c r="C9" s="15" t="s">
        <v>453</v>
      </c>
      <c r="D9" s="16">
        <v>2559785</v>
      </c>
      <c r="E9" s="17">
        <f t="shared" si="0"/>
        <v>2.44120121002197</v>
      </c>
      <c r="F9" s="15" t="s">
        <v>460</v>
      </c>
      <c r="G9" s="15" t="s">
        <v>469</v>
      </c>
      <c r="H9" s="15" t="s">
        <v>462</v>
      </c>
      <c r="I9" s="15" t="s">
        <v>463</v>
      </c>
      <c r="J9" s="15" t="s">
        <v>470</v>
      </c>
    </row>
    <row r="10" ht="28.5" customHeight="1" spans="1:10">
      <c r="A10" s="15" t="s">
        <v>78</v>
      </c>
      <c r="B10" s="15" t="s">
        <v>471</v>
      </c>
      <c r="C10" s="15" t="s">
        <v>453</v>
      </c>
      <c r="D10" s="16">
        <v>2893505</v>
      </c>
      <c r="E10" s="17">
        <f t="shared" si="0"/>
        <v>2.75946140289307</v>
      </c>
      <c r="F10" s="15" t="s">
        <v>460</v>
      </c>
      <c r="G10" s="15" t="s">
        <v>472</v>
      </c>
      <c r="H10" s="15" t="s">
        <v>462</v>
      </c>
      <c r="I10" s="15" t="s">
        <v>463</v>
      </c>
      <c r="J10" s="15" t="s">
        <v>473</v>
      </c>
    </row>
    <row r="11" ht="28.5" customHeight="1" spans="1:10">
      <c r="A11" s="15" t="s">
        <v>376</v>
      </c>
      <c r="B11" s="15" t="s">
        <v>474</v>
      </c>
      <c r="C11" s="15" t="s">
        <v>453</v>
      </c>
      <c r="D11" s="16">
        <v>2888881</v>
      </c>
      <c r="E11" s="17">
        <f t="shared" si="0"/>
        <v>2.755051612854</v>
      </c>
      <c r="F11" s="15" t="s">
        <v>460</v>
      </c>
      <c r="G11" s="15" t="s">
        <v>475</v>
      </c>
      <c r="H11" s="15" t="s">
        <v>462</v>
      </c>
      <c r="I11" s="15" t="s">
        <v>463</v>
      </c>
      <c r="J11" s="15" t="s">
        <v>476</v>
      </c>
    </row>
    <row r="12" ht="28.5" customHeight="1" spans="1:10">
      <c r="A12" s="15" t="s">
        <v>181</v>
      </c>
      <c r="B12" s="15" t="s">
        <v>477</v>
      </c>
      <c r="C12" s="15" t="s">
        <v>453</v>
      </c>
      <c r="D12" s="16">
        <v>2865543</v>
      </c>
      <c r="E12" s="17">
        <f t="shared" si="0"/>
        <v>2.73279476165771</v>
      </c>
      <c r="F12" s="15" t="s">
        <v>460</v>
      </c>
      <c r="G12" s="15" t="s">
        <v>478</v>
      </c>
      <c r="H12" s="15" t="s">
        <v>462</v>
      </c>
      <c r="I12" s="15" t="s">
        <v>463</v>
      </c>
      <c r="J12" s="15" t="s">
        <v>479</v>
      </c>
    </row>
    <row r="13" ht="28.5" customHeight="1" spans="1:10">
      <c r="A13" s="15" t="s">
        <v>480</v>
      </c>
      <c r="B13" s="15" t="s">
        <v>481</v>
      </c>
      <c r="C13" s="15" t="s">
        <v>453</v>
      </c>
      <c r="D13" s="16">
        <v>2452805</v>
      </c>
      <c r="E13" s="17">
        <f t="shared" si="0"/>
        <v>2.33917713165283</v>
      </c>
      <c r="F13" s="15" t="s">
        <v>482</v>
      </c>
      <c r="G13" s="15" t="s">
        <v>483</v>
      </c>
      <c r="H13" s="15" t="s">
        <v>462</v>
      </c>
      <c r="I13" s="15" t="s">
        <v>463</v>
      </c>
      <c r="J13" s="15" t="s">
        <v>484</v>
      </c>
    </row>
    <row r="14" ht="28.5" customHeight="1" spans="1:10">
      <c r="A14" s="15" t="s">
        <v>205</v>
      </c>
      <c r="B14" s="15" t="s">
        <v>485</v>
      </c>
      <c r="C14" s="15" t="s">
        <v>453</v>
      </c>
      <c r="D14" s="16">
        <v>2778502</v>
      </c>
      <c r="E14" s="17">
        <f t="shared" si="0"/>
        <v>2.6497859954834</v>
      </c>
      <c r="F14" s="15" t="s">
        <v>482</v>
      </c>
      <c r="G14" s="15" t="s">
        <v>466</v>
      </c>
      <c r="H14" s="15" t="s">
        <v>462</v>
      </c>
      <c r="I14" s="15" t="s">
        <v>463</v>
      </c>
      <c r="J14" s="15" t="s">
        <v>486</v>
      </c>
    </row>
    <row r="15" ht="28.5" customHeight="1" spans="1:10">
      <c r="A15" s="15" t="s">
        <v>246</v>
      </c>
      <c r="B15" s="15" t="s">
        <v>487</v>
      </c>
      <c r="C15" s="15" t="s">
        <v>453</v>
      </c>
      <c r="D15" s="16">
        <v>898509</v>
      </c>
      <c r="E15" s="17">
        <f t="shared" si="0"/>
        <v>0.856884956359863</v>
      </c>
      <c r="F15" s="15" t="s">
        <v>482</v>
      </c>
      <c r="G15" s="15" t="s">
        <v>469</v>
      </c>
      <c r="H15" s="15" t="s">
        <v>462</v>
      </c>
      <c r="I15" s="15" t="s">
        <v>463</v>
      </c>
      <c r="J15" s="15" t="s">
        <v>488</v>
      </c>
    </row>
    <row r="16" ht="28.5" customHeight="1" spans="1:10">
      <c r="A16" s="15" t="s">
        <v>231</v>
      </c>
      <c r="B16" s="15" t="s">
        <v>489</v>
      </c>
      <c r="C16" s="15" t="s">
        <v>453</v>
      </c>
      <c r="D16" s="16">
        <v>2467114</v>
      </c>
      <c r="E16" s="17">
        <f t="shared" si="0"/>
        <v>2.35282325744629</v>
      </c>
      <c r="F16" s="15" t="s">
        <v>482</v>
      </c>
      <c r="G16" s="15" t="s">
        <v>490</v>
      </c>
      <c r="H16" s="15" t="s">
        <v>462</v>
      </c>
      <c r="I16" s="15" t="s">
        <v>463</v>
      </c>
      <c r="J16" s="15" t="s">
        <v>491</v>
      </c>
    </row>
    <row r="17" ht="28.5" customHeight="1" spans="1:10">
      <c r="A17" s="15" t="s">
        <v>225</v>
      </c>
      <c r="B17" s="15" t="s">
        <v>492</v>
      </c>
      <c r="C17" s="15" t="s">
        <v>453</v>
      </c>
      <c r="D17" s="16">
        <v>2350770</v>
      </c>
      <c r="E17" s="17">
        <f t="shared" si="0"/>
        <v>2.24186897277832</v>
      </c>
      <c r="F17" s="15" t="s">
        <v>482</v>
      </c>
      <c r="G17" s="15" t="s">
        <v>493</v>
      </c>
      <c r="H17" s="15" t="s">
        <v>462</v>
      </c>
      <c r="I17" s="15" t="s">
        <v>463</v>
      </c>
      <c r="J17" s="15" t="s">
        <v>494</v>
      </c>
    </row>
    <row r="18" ht="28.5" customHeight="1" spans="1:10">
      <c r="A18" s="15" t="s">
        <v>495</v>
      </c>
      <c r="B18" s="15" t="s">
        <v>496</v>
      </c>
      <c r="C18" s="15" t="s">
        <v>453</v>
      </c>
      <c r="D18" s="16">
        <v>2687890</v>
      </c>
      <c r="E18" s="17">
        <f t="shared" si="0"/>
        <v>2.5633716583252</v>
      </c>
      <c r="F18" s="15" t="s">
        <v>482</v>
      </c>
      <c r="G18" s="15" t="s">
        <v>475</v>
      </c>
      <c r="H18" s="15" t="s">
        <v>462</v>
      </c>
      <c r="I18" s="15" t="s">
        <v>463</v>
      </c>
      <c r="J18" s="15" t="s">
        <v>497</v>
      </c>
    </row>
    <row r="19" ht="28.5" customHeight="1" spans="1:10">
      <c r="A19" s="15" t="s">
        <v>498</v>
      </c>
      <c r="B19" s="15" t="s">
        <v>499</v>
      </c>
      <c r="C19" s="15" t="s">
        <v>453</v>
      </c>
      <c r="D19" s="16">
        <v>2602984</v>
      </c>
      <c r="E19" s="17">
        <f t="shared" si="0"/>
        <v>2.48239898681641</v>
      </c>
      <c r="F19" s="15" t="s">
        <v>482</v>
      </c>
      <c r="G19" s="15" t="s">
        <v>478</v>
      </c>
      <c r="H19" s="15" t="s">
        <v>462</v>
      </c>
      <c r="I19" s="15" t="s">
        <v>463</v>
      </c>
      <c r="J19" s="15" t="s">
        <v>500</v>
      </c>
    </row>
    <row r="20" ht="28.5" customHeight="1" spans="1:10">
      <c r="A20" s="15" t="s">
        <v>501</v>
      </c>
      <c r="B20" s="15" t="s">
        <v>502</v>
      </c>
      <c r="C20" s="15" t="s">
        <v>453</v>
      </c>
      <c r="D20" s="16">
        <v>2477546</v>
      </c>
      <c r="E20" s="17">
        <f t="shared" si="0"/>
        <v>2.36277198791504</v>
      </c>
      <c r="F20" s="15" t="s">
        <v>482</v>
      </c>
      <c r="G20" s="15" t="s">
        <v>503</v>
      </c>
      <c r="H20" s="15" t="s">
        <v>462</v>
      </c>
      <c r="I20" s="15" t="s">
        <v>463</v>
      </c>
      <c r="J20" s="15" t="s">
        <v>504</v>
      </c>
    </row>
    <row r="21" ht="28.5" customHeight="1" spans="1:10">
      <c r="A21" s="15" t="s">
        <v>241</v>
      </c>
      <c r="B21" s="15" t="s">
        <v>505</v>
      </c>
      <c r="C21" s="15" t="s">
        <v>453</v>
      </c>
      <c r="D21" s="16">
        <v>2989436</v>
      </c>
      <c r="E21" s="17">
        <f t="shared" si="0"/>
        <v>2.85094833374023</v>
      </c>
      <c r="F21" s="15" t="s">
        <v>506</v>
      </c>
      <c r="G21" s="15" t="s">
        <v>507</v>
      </c>
      <c r="H21" s="15" t="s">
        <v>462</v>
      </c>
      <c r="I21" s="15" t="s">
        <v>463</v>
      </c>
      <c r="J21" s="15" t="s">
        <v>508</v>
      </c>
    </row>
    <row r="22" ht="28.5" customHeight="1" spans="1:10">
      <c r="A22" s="15" t="s">
        <v>509</v>
      </c>
      <c r="B22" s="15" t="s">
        <v>510</v>
      </c>
      <c r="C22" s="15" t="s">
        <v>453</v>
      </c>
      <c r="D22" s="16">
        <v>2921833</v>
      </c>
      <c r="E22" s="17">
        <f t="shared" si="0"/>
        <v>2.78647708892822</v>
      </c>
      <c r="F22" s="15" t="s">
        <v>506</v>
      </c>
      <c r="G22" s="15" t="s">
        <v>511</v>
      </c>
      <c r="H22" s="15" t="s">
        <v>462</v>
      </c>
      <c r="I22" s="15" t="s">
        <v>512</v>
      </c>
      <c r="J22" s="15" t="s">
        <v>513</v>
      </c>
    </row>
    <row r="23" ht="28.5" customHeight="1" spans="1:10">
      <c r="A23" s="15" t="s">
        <v>514</v>
      </c>
      <c r="B23" s="15" t="s">
        <v>515</v>
      </c>
      <c r="C23" s="15" t="s">
        <v>453</v>
      </c>
      <c r="D23" s="16">
        <v>2922540</v>
      </c>
      <c r="E23" s="17">
        <f t="shared" si="0"/>
        <v>2.78715133666992</v>
      </c>
      <c r="F23" s="15" t="s">
        <v>506</v>
      </c>
      <c r="G23" s="15" t="s">
        <v>461</v>
      </c>
      <c r="H23" s="15" t="s">
        <v>462</v>
      </c>
      <c r="I23" s="15" t="s">
        <v>463</v>
      </c>
      <c r="J23" s="15" t="s">
        <v>516</v>
      </c>
    </row>
    <row r="24" ht="28.5" customHeight="1" spans="1:10">
      <c r="A24" s="15" t="s">
        <v>218</v>
      </c>
      <c r="B24" s="15" t="s">
        <v>517</v>
      </c>
      <c r="C24" s="15" t="s">
        <v>453</v>
      </c>
      <c r="D24" s="16">
        <v>74451</v>
      </c>
      <c r="E24" s="17">
        <f t="shared" si="0"/>
        <v>0.0710020065307617</v>
      </c>
      <c r="F24" s="15" t="s">
        <v>506</v>
      </c>
      <c r="G24" s="15" t="s">
        <v>518</v>
      </c>
      <c r="H24" s="15" t="s">
        <v>462</v>
      </c>
      <c r="I24" s="15" t="s">
        <v>463</v>
      </c>
      <c r="J24" s="15" t="s">
        <v>519</v>
      </c>
    </row>
    <row r="25" ht="28.5" customHeight="1" spans="1:10">
      <c r="A25" s="15" t="s">
        <v>212</v>
      </c>
      <c r="B25" s="15" t="s">
        <v>520</v>
      </c>
      <c r="C25" s="15" t="s">
        <v>453</v>
      </c>
      <c r="D25" s="16">
        <v>2480165</v>
      </c>
      <c r="E25" s="17">
        <f t="shared" si="0"/>
        <v>2.36526966094971</v>
      </c>
      <c r="F25" s="15" t="s">
        <v>506</v>
      </c>
      <c r="G25" s="15" t="s">
        <v>469</v>
      </c>
      <c r="H25" s="15" t="s">
        <v>462</v>
      </c>
      <c r="I25" s="15" t="s">
        <v>463</v>
      </c>
      <c r="J25" s="15" t="s">
        <v>521</v>
      </c>
    </row>
    <row r="26" ht="28.5" customHeight="1" spans="1:10">
      <c r="A26" s="15" t="s">
        <v>522</v>
      </c>
      <c r="B26" s="15" t="s">
        <v>523</v>
      </c>
      <c r="C26" s="15" t="s">
        <v>453</v>
      </c>
      <c r="D26" s="16">
        <v>2924097</v>
      </c>
      <c r="E26" s="17">
        <f t="shared" si="0"/>
        <v>2.78863620758057</v>
      </c>
      <c r="F26" s="15" t="s">
        <v>506</v>
      </c>
      <c r="G26" s="15" t="s">
        <v>524</v>
      </c>
      <c r="H26" s="15" t="s">
        <v>462</v>
      </c>
      <c r="I26" s="15" t="s">
        <v>463</v>
      </c>
      <c r="J26" s="15" t="s">
        <v>525</v>
      </c>
    </row>
    <row r="27" ht="28.5" customHeight="1" spans="1:10">
      <c r="A27" s="15" t="s">
        <v>526</v>
      </c>
      <c r="B27" s="15" t="s">
        <v>527</v>
      </c>
      <c r="C27" s="15" t="s">
        <v>453</v>
      </c>
      <c r="D27" s="16">
        <v>2922540</v>
      </c>
      <c r="E27" s="17">
        <f t="shared" si="0"/>
        <v>2.78715133666992</v>
      </c>
      <c r="F27" s="15" t="s">
        <v>506</v>
      </c>
      <c r="G27" s="15" t="s">
        <v>528</v>
      </c>
      <c r="H27" s="15" t="s">
        <v>462</v>
      </c>
      <c r="I27" s="15" t="s">
        <v>529</v>
      </c>
      <c r="J27" s="15" t="s">
        <v>530</v>
      </c>
    </row>
    <row r="28" ht="28.5" customHeight="1" spans="1:10">
      <c r="A28" s="15" t="s">
        <v>153</v>
      </c>
      <c r="B28" s="15" t="s">
        <v>531</v>
      </c>
      <c r="C28" s="15" t="s">
        <v>453</v>
      </c>
      <c r="D28" s="16">
        <v>3284817</v>
      </c>
      <c r="E28" s="17">
        <f t="shared" si="0"/>
        <v>3.13264560699463</v>
      </c>
      <c r="F28" s="15" t="s">
        <v>532</v>
      </c>
      <c r="G28" s="15" t="s">
        <v>461</v>
      </c>
      <c r="H28" s="15" t="s">
        <v>462</v>
      </c>
      <c r="I28" s="15" t="s">
        <v>463</v>
      </c>
      <c r="J28" s="15" t="s">
        <v>533</v>
      </c>
    </row>
    <row r="29" ht="28.5" customHeight="1" spans="1:10">
      <c r="A29" s="15" t="s">
        <v>119</v>
      </c>
      <c r="B29" s="15" t="s">
        <v>534</v>
      </c>
      <c r="C29" s="15" t="s">
        <v>453</v>
      </c>
      <c r="D29" s="16">
        <v>3371723</v>
      </c>
      <c r="E29" s="17">
        <f t="shared" si="0"/>
        <v>3.21552562713623</v>
      </c>
      <c r="F29" s="15" t="s">
        <v>532</v>
      </c>
      <c r="G29" s="15" t="s">
        <v>466</v>
      </c>
      <c r="H29" s="15" t="s">
        <v>462</v>
      </c>
      <c r="I29" s="15" t="s">
        <v>463</v>
      </c>
      <c r="J29" s="15" t="s">
        <v>535</v>
      </c>
    </row>
    <row r="30" ht="28.5" customHeight="1" spans="1:10">
      <c r="A30" s="15" t="s">
        <v>143</v>
      </c>
      <c r="B30" s="15" t="s">
        <v>536</v>
      </c>
      <c r="C30" s="15" t="s">
        <v>453</v>
      </c>
      <c r="D30" s="16">
        <v>2815603</v>
      </c>
      <c r="E30" s="17">
        <f t="shared" si="0"/>
        <v>2.68516826629639</v>
      </c>
      <c r="F30" s="15" t="s">
        <v>532</v>
      </c>
      <c r="G30" s="15" t="s">
        <v>469</v>
      </c>
      <c r="H30" s="15" t="s">
        <v>462</v>
      </c>
      <c r="I30" s="15" t="s">
        <v>463</v>
      </c>
      <c r="J30" s="15" t="s">
        <v>537</v>
      </c>
    </row>
    <row r="31" ht="28.5" customHeight="1" spans="1:10">
      <c r="A31" s="15" t="s">
        <v>126</v>
      </c>
      <c r="B31" s="15" t="s">
        <v>538</v>
      </c>
      <c r="C31" s="15" t="s">
        <v>453</v>
      </c>
      <c r="D31" s="16">
        <v>3295585</v>
      </c>
      <c r="E31" s="17">
        <f t="shared" si="0"/>
        <v>3.14291477203369</v>
      </c>
      <c r="F31" s="15" t="s">
        <v>532</v>
      </c>
      <c r="G31" s="15" t="s">
        <v>539</v>
      </c>
      <c r="H31" s="15" t="s">
        <v>462</v>
      </c>
      <c r="I31" s="15" t="s">
        <v>463</v>
      </c>
      <c r="J31" s="15" t="s">
        <v>540</v>
      </c>
    </row>
    <row r="32" ht="28.5" customHeight="1" spans="1:10">
      <c r="A32" s="15" t="s">
        <v>541</v>
      </c>
      <c r="B32" s="15" t="s">
        <v>542</v>
      </c>
      <c r="C32" s="15" t="s">
        <v>453</v>
      </c>
      <c r="D32" s="16">
        <v>102552</v>
      </c>
      <c r="E32" s="17">
        <f t="shared" si="0"/>
        <v>0.0978012084960937</v>
      </c>
      <c r="F32" s="15" t="s">
        <v>532</v>
      </c>
      <c r="G32" s="15" t="s">
        <v>543</v>
      </c>
      <c r="H32" s="15" t="s">
        <v>462</v>
      </c>
      <c r="I32" s="15" t="s">
        <v>463</v>
      </c>
      <c r="J32" s="15" t="s">
        <v>544</v>
      </c>
    </row>
    <row r="33" ht="28.5" customHeight="1" spans="1:10">
      <c r="A33" s="15" t="s">
        <v>296</v>
      </c>
      <c r="B33" s="15" t="s">
        <v>545</v>
      </c>
      <c r="C33" s="15" t="s">
        <v>453</v>
      </c>
      <c r="D33" s="16">
        <v>3457357</v>
      </c>
      <c r="E33" s="17">
        <f t="shared" si="0"/>
        <v>3.29719257354736</v>
      </c>
      <c r="F33" s="15" t="s">
        <v>532</v>
      </c>
      <c r="G33" s="15" t="s">
        <v>546</v>
      </c>
      <c r="H33" s="15" t="s">
        <v>462</v>
      </c>
      <c r="I33" s="15" t="s">
        <v>463</v>
      </c>
      <c r="J33" s="15" t="s">
        <v>547</v>
      </c>
    </row>
    <row r="34" ht="28.5" customHeight="1" spans="1:10">
      <c r="A34" s="15" t="s">
        <v>548</v>
      </c>
      <c r="B34" s="15" t="s">
        <v>549</v>
      </c>
      <c r="C34" s="15" t="s">
        <v>453</v>
      </c>
      <c r="D34" s="16">
        <v>3332095</v>
      </c>
      <c r="E34" s="17">
        <f t="shared" si="0"/>
        <v>3.17773342132568</v>
      </c>
      <c r="F34" s="15" t="s">
        <v>532</v>
      </c>
      <c r="G34" s="15" t="s">
        <v>550</v>
      </c>
      <c r="H34" s="15" t="s">
        <v>462</v>
      </c>
      <c r="I34" s="15" t="s">
        <v>463</v>
      </c>
      <c r="J34" s="15" t="s">
        <v>551</v>
      </c>
    </row>
    <row r="35" ht="28.5" customHeight="1" spans="1:10">
      <c r="A35" s="18" t="s">
        <v>552</v>
      </c>
      <c r="B35" s="18" t="s">
        <v>553</v>
      </c>
      <c r="C35" s="18" t="s">
        <v>453</v>
      </c>
      <c r="D35" s="19">
        <v>104764</v>
      </c>
      <c r="E35" s="20">
        <f t="shared" si="0"/>
        <v>0.0999107360839844</v>
      </c>
      <c r="F35" s="18" t="s">
        <v>532</v>
      </c>
      <c r="G35" s="18" t="s">
        <v>554</v>
      </c>
      <c r="H35" s="18" t="s">
        <v>462</v>
      </c>
      <c r="I35" s="18" t="s">
        <v>463</v>
      </c>
      <c r="J35" s="18" t="s">
        <v>555</v>
      </c>
    </row>
    <row r="38" ht="19.5" customHeight="1" spans="1:10">
      <c r="A38" s="3" t="s">
        <v>556</v>
      </c>
      <c r="B38" s="3" t="s">
        <v>556</v>
      </c>
      <c r="C38" s="3" t="s">
        <v>556</v>
      </c>
      <c r="D38" s="3" t="s">
        <v>556</v>
      </c>
      <c r="E38" s="3" t="s">
        <v>556</v>
      </c>
      <c r="F38" s="3" t="s">
        <v>556</v>
      </c>
      <c r="G38" s="3" t="s">
        <v>556</v>
      </c>
      <c r="H38" s="3" t="s">
        <v>556</v>
      </c>
      <c r="I38" s="3" t="s">
        <v>556</v>
      </c>
      <c r="J38" s="3" t="s">
        <v>556</v>
      </c>
    </row>
    <row r="39" ht="25.5" customHeight="1" spans="1:10">
      <c r="A39" s="4" t="s">
        <v>557</v>
      </c>
      <c r="B39" s="4" t="s">
        <v>558</v>
      </c>
      <c r="C39" s="4" t="s">
        <v>559</v>
      </c>
    </row>
    <row r="40" ht="31.5" customHeight="1" spans="1:10">
      <c r="A40" s="5" t="s">
        <v>453</v>
      </c>
      <c r="B40" s="5" t="s">
        <v>560</v>
      </c>
      <c r="C40" s="5" t="s">
        <v>561</v>
      </c>
    </row>
    <row r="41" ht="31.5" customHeight="1" spans="1:10">
      <c r="A41" s="6" t="s">
        <v>562</v>
      </c>
      <c r="B41" s="6" t="s">
        <v>563</v>
      </c>
      <c r="C41" s="6" t="s">
        <v>564</v>
      </c>
    </row>
    <row r="42" ht="31.5" customHeight="1" spans="1:10">
      <c r="A42" s="7" t="s">
        <v>565</v>
      </c>
      <c r="B42" s="7" t="s">
        <v>566</v>
      </c>
      <c r="C42" s="7" t="s">
        <v>567</v>
      </c>
    </row>
  </sheetData>
  <mergeCells count="4">
    <mergeCell ref="A1:J1"/>
    <mergeCell ref="A2:J2"/>
    <mergeCell ref="A4:J4"/>
    <mergeCell ref="A38:J38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showGridLines="0" workbookViewId="0">
      <selection activeCell="A1" sqref="A1:F1"/>
    </sheetView>
  </sheetViews>
  <sheetFormatPr defaultColWidth="9" defaultRowHeight="14" outlineLevelCol="5"/>
  <cols>
    <col min="1" max="2" width="22.5" customWidth="1"/>
    <col min="3" max="3" width="40" customWidth="1"/>
    <col min="4" max="4" width="32.5" customWidth="1"/>
    <col min="5" max="6" width="12.5" customWidth="1"/>
  </cols>
  <sheetData>
    <row r="1" ht="28.5" customHeight="1" spans="1:6">
      <c r="A1" s="1" t="s">
        <v>568</v>
      </c>
      <c r="B1" s="1" t="s">
        <v>568</v>
      </c>
      <c r="C1" s="1" t="s">
        <v>568</v>
      </c>
      <c r="D1" s="1" t="s">
        <v>568</v>
      </c>
      <c r="E1" s="1" t="s">
        <v>568</v>
      </c>
      <c r="F1" s="1" t="s">
        <v>568</v>
      </c>
    </row>
    <row r="2" ht="25.5" customHeight="1" spans="1:6">
      <c r="A2" s="2" t="s">
        <v>569</v>
      </c>
      <c r="B2" s="2" t="s">
        <v>569</v>
      </c>
      <c r="C2" s="2" t="s">
        <v>569</v>
      </c>
      <c r="D2" s="2" t="s">
        <v>569</v>
      </c>
      <c r="E2" s="2" t="s">
        <v>569</v>
      </c>
      <c r="F2" s="2" t="s">
        <v>569</v>
      </c>
    </row>
    <row r="4" ht="19.5" customHeight="1" spans="1:6">
      <c r="A4" s="3" t="s">
        <v>570</v>
      </c>
      <c r="B4" s="3" t="s">
        <v>570</v>
      </c>
      <c r="C4" s="3" t="s">
        <v>570</v>
      </c>
      <c r="D4" s="3" t="s">
        <v>570</v>
      </c>
      <c r="E4" s="3" t="s">
        <v>570</v>
      </c>
      <c r="F4" s="3" t="s">
        <v>570</v>
      </c>
    </row>
    <row r="5" ht="25.5" customHeight="1" spans="1:6">
      <c r="A5" s="4" t="s">
        <v>571</v>
      </c>
      <c r="B5" s="4" t="s">
        <v>27</v>
      </c>
      <c r="C5" s="4" t="s">
        <v>572</v>
      </c>
    </row>
    <row r="6" spans="1:6">
      <c r="A6" t="s">
        <v>573</v>
      </c>
      <c r="B6" t="s">
        <v>29</v>
      </c>
      <c r="C6" t="s">
        <v>574</v>
      </c>
    </row>
    <row r="7" spans="1:6">
      <c r="A7" t="s">
        <v>201</v>
      </c>
      <c r="B7" t="s">
        <v>31</v>
      </c>
      <c r="C7" t="s">
        <v>575</v>
      </c>
    </row>
    <row r="8" spans="1:6">
      <c r="A8" t="s">
        <v>114</v>
      </c>
      <c r="B8" t="s">
        <v>33</v>
      </c>
      <c r="C8" t="s">
        <v>576</v>
      </c>
    </row>
    <row r="9" spans="1:6">
      <c r="A9" t="s">
        <v>208</v>
      </c>
      <c r="B9" t="s">
        <v>35</v>
      </c>
      <c r="C9" t="s">
        <v>577</v>
      </c>
    </row>
    <row r="10" spans="1:6">
      <c r="A10" t="s">
        <v>37</v>
      </c>
      <c r="B10" t="s">
        <v>37</v>
      </c>
      <c r="C10" t="s">
        <v>578</v>
      </c>
    </row>
    <row r="12" ht="19.5" customHeight="1" spans="1:6">
      <c r="A12" s="3" t="s">
        <v>579</v>
      </c>
      <c r="B12" s="3" t="s">
        <v>579</v>
      </c>
      <c r="C12" s="3" t="s">
        <v>579</v>
      </c>
      <c r="D12" s="3" t="s">
        <v>579</v>
      </c>
      <c r="E12" s="3" t="s">
        <v>579</v>
      </c>
      <c r="F12" s="3" t="s">
        <v>579</v>
      </c>
    </row>
    <row r="13" ht="25.5" customHeight="1" spans="1:6">
      <c r="A13" s="4" t="s">
        <v>580</v>
      </c>
      <c r="B13" s="4" t="s">
        <v>53</v>
      </c>
      <c r="C13" s="4" t="s">
        <v>581</v>
      </c>
      <c r="D13" s="4" t="s">
        <v>582</v>
      </c>
    </row>
    <row r="14" spans="1:6">
      <c r="A14" s="5" t="s">
        <v>583</v>
      </c>
      <c r="B14" s="5" t="s">
        <v>179</v>
      </c>
      <c r="C14" s="5" t="s">
        <v>584</v>
      </c>
      <c r="D14" s="5" t="s">
        <v>585</v>
      </c>
    </row>
    <row r="15" spans="1:6">
      <c r="A15" s="6" t="s">
        <v>586</v>
      </c>
      <c r="B15" s="6" t="s">
        <v>83</v>
      </c>
      <c r="C15" s="6" t="s">
        <v>587</v>
      </c>
      <c r="D15" s="6" t="s">
        <v>585</v>
      </c>
    </row>
    <row r="16" spans="1:6">
      <c r="A16" s="6" t="s">
        <v>588</v>
      </c>
      <c r="B16" s="6" t="s">
        <v>66</v>
      </c>
      <c r="C16" s="6" t="s">
        <v>589</v>
      </c>
      <c r="D16" s="6" t="s">
        <v>590</v>
      </c>
    </row>
    <row r="17" spans="1:6">
      <c r="A17" s="6" t="s">
        <v>591</v>
      </c>
      <c r="B17" s="6" t="s">
        <v>76</v>
      </c>
      <c r="C17" s="6" t="s">
        <v>592</v>
      </c>
      <c r="D17" s="6" t="s">
        <v>593</v>
      </c>
    </row>
    <row r="18" spans="1:6">
      <c r="A18" s="6" t="s">
        <v>594</v>
      </c>
      <c r="B18" s="6" t="s">
        <v>92</v>
      </c>
      <c r="C18" s="6" t="s">
        <v>595</v>
      </c>
      <c r="D18" s="6" t="s">
        <v>596</v>
      </c>
    </row>
    <row r="19" spans="1:6">
      <c r="A19" s="7" t="s">
        <v>597</v>
      </c>
      <c r="B19" s="7" t="s">
        <v>124</v>
      </c>
      <c r="C19" s="7" t="s">
        <v>598</v>
      </c>
      <c r="D19" s="7" t="s">
        <v>599</v>
      </c>
    </row>
    <row r="21" ht="19.5" customHeight="1" spans="1:6">
      <c r="A21" s="3" t="s">
        <v>600</v>
      </c>
      <c r="B21" s="3" t="s">
        <v>600</v>
      </c>
      <c r="C21" s="3" t="s">
        <v>600</v>
      </c>
      <c r="D21" s="3" t="s">
        <v>600</v>
      </c>
      <c r="E21" s="3" t="s">
        <v>600</v>
      </c>
      <c r="F21" s="3" t="s">
        <v>600</v>
      </c>
    </row>
    <row r="22" ht="25.5" customHeight="1" spans="1:6">
      <c r="A22" s="4" t="s">
        <v>601</v>
      </c>
      <c r="B22" s="4" t="s">
        <v>602</v>
      </c>
      <c r="C22" s="4" t="s">
        <v>603</v>
      </c>
    </row>
    <row r="23" spans="1:6">
      <c r="A23" s="8" t="s">
        <v>604</v>
      </c>
      <c r="B23" s="8" t="s">
        <v>67</v>
      </c>
      <c r="C23" s="8" t="s">
        <v>605</v>
      </c>
    </row>
    <row r="24" spans="1:6">
      <c r="A24" s="9" t="s">
        <v>606</v>
      </c>
      <c r="B24" s="9" t="s">
        <v>217</v>
      </c>
      <c r="C24" s="9" t="s">
        <v>607</v>
      </c>
    </row>
    <row r="25" spans="1:6">
      <c r="A25" s="10" t="s">
        <v>608</v>
      </c>
      <c r="B25" s="10" t="s">
        <v>204</v>
      </c>
      <c r="C25" s="10" t="s">
        <v>609</v>
      </c>
    </row>
  </sheetData>
  <mergeCells count="5">
    <mergeCell ref="A1:F1"/>
    <mergeCell ref="A2:F2"/>
    <mergeCell ref="A4:F4"/>
    <mergeCell ref="A12:F12"/>
    <mergeCell ref="A21:F21"/>
  </mergeCell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0</TotalTime>
  <Pages>0</Pages>
  <Words>0</Words>
  <Characters>0</Characters>
  <Application>WPS 表格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dcmitype="http://purl.org/dc/dcmitype/" xmlns:dcterms="http://purl.org/dc/terms/" xmlns:xsi="http://www.w3.org/2001/XMLSchema-instance" xmlns:dc="http://purl.org/dc/elements/1.1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3239\Nutstore\1\我的坚果云\打工简历\黑客松\"/>
    </mc:Choice>
  </mc:AlternateContent>
  <bookViews>
    <workbookView windowWidth="24750" windowHeight="12080" activeTab="1"/>
  </bookViews>
  <sheets>
    <sheet name="总览" sheetId="1" r:id="rId1"/>
    <sheet name="对白匹配" sheetId="2" r:id="rId2"/>
    <sheet name="资产清单" sheetId="3" r:id="rId3"/>
    <sheet name="映射规则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